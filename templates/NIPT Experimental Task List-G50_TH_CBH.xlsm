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AppData\Local\Temp\"/>
    </mc:Choice>
  </mc:AlternateContent>
  <xr:revisionPtr revIDLastSave="0" documentId="13_ncr:1_{2074EB9E-32FC-4C42-A000-B672C347369C}" xr6:coauthVersionLast="47" xr6:coauthVersionMax="47" xr10:uidLastSave="{00000000-0000-0000-0000-000000000000}"/>
  <bookViews>
    <workbookView xWindow="4020" yWindow="4020" windowWidth="21810" windowHeight="14330" xr2:uid="{00000000-000D-0000-FFFF-FFFF00000000}"/>
  </bookViews>
  <sheets>
    <sheet name="ใส่ข้อมูลตัวอย่าง ไม่ต้องปริ้น" sheetId="23" r:id="rId1"/>
    <sheet name="Ext. &amp; Prep. Task List 1" sheetId="2" r:id="rId2"/>
    <sheet name="Ext. &amp; Prep. Task List 2" sheetId="20" r:id="rId3"/>
    <sheet name="Ext. &amp; Prep. Task List 3" sheetId="21" r:id="rId4"/>
    <sheet name="QC measurements" sheetId="16" r:id="rId5"/>
    <sheet name="Pooling Table" sheetId="14" r:id="rId6"/>
    <sheet name="Seq Task-G50" sheetId="18" r:id="rId7"/>
  </sheets>
  <definedNames>
    <definedName name="_xlnm._FilterDatabase" localSheetId="0" hidden="1">'ใส่ข้อมูลตัวอย่าง ไม่ต้องปริ้น'!$A$2:$F$2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3" l="1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L9" i="21"/>
  <c r="L10" i="21"/>
  <c r="L11" i="21"/>
  <c r="L12" i="21"/>
  <c r="L13" i="21"/>
  <c r="L14" i="21"/>
  <c r="L15" i="21"/>
  <c r="L8" i="21"/>
  <c r="F9" i="21"/>
  <c r="F10" i="21"/>
  <c r="F11" i="21"/>
  <c r="F12" i="21"/>
  <c r="F13" i="21"/>
  <c r="F14" i="21"/>
  <c r="F15" i="21"/>
  <c r="F8" i="21"/>
  <c r="D42" i="23"/>
  <c r="A47" i="14" s="1"/>
  <c r="D3" i="23"/>
  <c r="D27" i="23"/>
  <c r="L9" i="20"/>
  <c r="L10" i="20"/>
  <c r="L11" i="20"/>
  <c r="L12" i="20"/>
  <c r="L13" i="20"/>
  <c r="L14" i="20"/>
  <c r="L15" i="20"/>
  <c r="L8" i="20"/>
  <c r="F9" i="20"/>
  <c r="F10" i="20"/>
  <c r="F11" i="20"/>
  <c r="F12" i="20"/>
  <c r="F13" i="20"/>
  <c r="F14" i="20"/>
  <c r="F15" i="20"/>
  <c r="F8" i="20"/>
  <c r="F8" i="2"/>
  <c r="L9" i="2"/>
  <c r="L10" i="2"/>
  <c r="L11" i="2"/>
  <c r="L12" i="2"/>
  <c r="L13" i="2"/>
  <c r="L14" i="2"/>
  <c r="L15" i="2"/>
  <c r="L8" i="2"/>
  <c r="F9" i="2"/>
  <c r="F10" i="2"/>
  <c r="F11" i="2"/>
  <c r="F12" i="2"/>
  <c r="F13" i="2"/>
  <c r="F14" i="2"/>
  <c r="F15" i="2"/>
  <c r="B15" i="21" l="1"/>
  <c r="A8" i="14"/>
  <c r="B7" i="16"/>
  <c r="B46" i="16"/>
  <c r="D28" i="23" l="1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3" i="23"/>
  <c r="D44" i="23"/>
  <c r="D45" i="23"/>
  <c r="D46" i="23"/>
  <c r="D47" i="23"/>
  <c r="D48" i="23"/>
  <c r="D49" i="23"/>
  <c r="D50" i="23"/>
  <c r="B54" i="16" l="1"/>
  <c r="H15" i="21"/>
  <c r="A55" i="14"/>
  <c r="B53" i="16"/>
  <c r="A54" i="14"/>
  <c r="H14" i="21"/>
  <c r="B51" i="16"/>
  <c r="A52" i="14"/>
  <c r="H12" i="21"/>
  <c r="B52" i="16"/>
  <c r="A53" i="14"/>
  <c r="H13" i="21"/>
  <c r="A50" i="14"/>
  <c r="B49" i="16"/>
  <c r="H10" i="21"/>
  <c r="A49" i="14"/>
  <c r="H9" i="21"/>
  <c r="B48" i="16"/>
  <c r="A48" i="14"/>
  <c r="B47" i="16"/>
  <c r="H8" i="21"/>
  <c r="A51" i="14"/>
  <c r="H11" i="21"/>
  <c r="B50" i="16"/>
  <c r="B43" i="16"/>
  <c r="A44" i="14"/>
  <c r="B12" i="21"/>
  <c r="B9" i="21"/>
  <c r="A41" i="14"/>
  <c r="B40" i="16"/>
  <c r="B39" i="16"/>
  <c r="A40" i="14"/>
  <c r="B8" i="21"/>
  <c r="A45" i="14"/>
  <c r="B44" i="16"/>
  <c r="B13" i="21"/>
  <c r="B38" i="16"/>
  <c r="H15" i="20"/>
  <c r="A39" i="14"/>
  <c r="B11" i="21"/>
  <c r="B42" i="16"/>
  <c r="A43" i="14"/>
  <c r="B37" i="16"/>
  <c r="H14" i="20"/>
  <c r="A38" i="14"/>
  <c r="B10" i="21"/>
  <c r="A42" i="14"/>
  <c r="B41" i="16"/>
  <c r="B36" i="16"/>
  <c r="A37" i="14"/>
  <c r="H13" i="20"/>
  <c r="B35" i="16"/>
  <c r="H12" i="20"/>
  <c r="A36" i="14"/>
  <c r="H11" i="20"/>
  <c r="A35" i="14"/>
  <c r="B34" i="16"/>
  <c r="B45" i="16"/>
  <c r="A46" i="14"/>
  <c r="B14" i="21"/>
  <c r="A34" i="14"/>
  <c r="H10" i="20"/>
  <c r="B33" i="16"/>
  <c r="B32" i="16"/>
  <c r="A33" i="14"/>
  <c r="H9" i="20"/>
  <c r="B20" i="16"/>
  <c r="H13" i="2"/>
  <c r="A21" i="14"/>
  <c r="A18" i="14"/>
  <c r="H10" i="2"/>
  <c r="B17" i="16"/>
  <c r="A17" i="14"/>
  <c r="B16" i="16"/>
  <c r="H9" i="2"/>
  <c r="B12" i="20"/>
  <c r="A28" i="14"/>
  <c r="B27" i="16"/>
  <c r="A15" i="14"/>
  <c r="B14" i="16"/>
  <c r="B19" i="16"/>
  <c r="A20" i="14"/>
  <c r="H12" i="2"/>
  <c r="A14" i="14"/>
  <c r="B13" i="16"/>
  <c r="B12" i="16"/>
  <c r="A13" i="14"/>
  <c r="B30" i="16"/>
  <c r="A31" i="14"/>
  <c r="B15" i="20"/>
  <c r="A30" i="14"/>
  <c r="B29" i="16"/>
  <c r="B14" i="20"/>
  <c r="A12" i="14"/>
  <c r="B11" i="16"/>
  <c r="B10" i="16"/>
  <c r="A11" i="14"/>
  <c r="A19" i="14"/>
  <c r="B18" i="16"/>
  <c r="H11" i="2"/>
  <c r="A29" i="14"/>
  <c r="B28" i="16"/>
  <c r="B13" i="20"/>
  <c r="H8" i="2"/>
  <c r="A16" i="14"/>
  <c r="B15" i="16"/>
  <c r="B11" i="20"/>
  <c r="B26" i="16"/>
  <c r="A27" i="14"/>
  <c r="B25" i="16"/>
  <c r="B10" i="20"/>
  <c r="A26" i="14"/>
  <c r="B9" i="20"/>
  <c r="A25" i="14"/>
  <c r="B24" i="16"/>
  <c r="B23" i="16"/>
  <c r="A24" i="14"/>
  <c r="B8" i="20"/>
  <c r="A23" i="14"/>
  <c r="H15" i="2"/>
  <c r="B22" i="16"/>
  <c r="B21" i="16"/>
  <c r="A22" i="14"/>
  <c r="H14" i="2"/>
  <c r="B9" i="16"/>
  <c r="A10" i="14"/>
  <c r="B8" i="16"/>
  <c r="A9" i="14"/>
  <c r="B8" i="2" a="1"/>
  <c r="B8" i="2" s="1"/>
  <c r="A32" i="14"/>
  <c r="B31" i="16"/>
  <c r="H8" i="20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C10" i="14"/>
  <c r="B10" i="14"/>
  <c r="B9" i="14"/>
  <c r="B8" i="14"/>
  <c r="C8" i="14" l="1"/>
  <c r="C12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<sst xmlns="http://schemas.openxmlformats.org/spreadsheetml/2006/main" count="441" uniqueCount="282">
  <si>
    <t>A</t>
  </si>
  <si>
    <t>B</t>
  </si>
  <si>
    <t>C</t>
  </si>
  <si>
    <t>D</t>
  </si>
  <si>
    <t>E</t>
  </si>
  <si>
    <t>F</t>
  </si>
  <si>
    <t>G</t>
  </si>
  <si>
    <t>H</t>
  </si>
  <si>
    <t>Lane</t>
  </si>
  <si>
    <t>DNB ID</t>
  </si>
  <si>
    <t>①</t>
  </si>
  <si>
    <t>SE</t>
  </si>
  <si>
    <t>35+10</t>
  </si>
  <si>
    <t>lane</t>
  </si>
  <si>
    <t>DNA Number</t>
  </si>
  <si>
    <t>Plasma handler:</t>
  </si>
  <si>
    <t>Concentration (ng/ul)</t>
  </si>
  <si>
    <t>Sample ID</t>
  </si>
  <si>
    <t>Pooling Table</t>
  </si>
  <si>
    <t>Pooling amount (pmol)</t>
  </si>
  <si>
    <t>Volume (ul)</t>
  </si>
  <si>
    <t>Total sample volume (ul)</t>
  </si>
  <si>
    <t>Desired Total Volume (ul)</t>
  </si>
  <si>
    <t>Barcode type:</t>
  </si>
  <si>
    <t>Sequencing Type</t>
  </si>
  <si>
    <t>Project type</t>
  </si>
  <si>
    <t>Cycle number</t>
  </si>
  <si>
    <t>Barcode information</t>
  </si>
  <si>
    <t>Volume of DNB added (μL)</t>
  </si>
  <si>
    <t>Hard Drive Memory (TB):</t>
  </si>
  <si>
    <t>Negative Pressure (kPa):</t>
  </si>
  <si>
    <t>Base/Fluorescent Intensity (K)</t>
  </si>
  <si>
    <t>Sequencing chip positioned firmly (  )</t>
  </si>
  <si>
    <t>DNBSEQ-G50 no.:</t>
    <phoneticPr fontId="61" type="noConversion"/>
  </si>
  <si>
    <t xml:space="preserve">Reagent preparation </t>
  </si>
  <si>
    <t>96-Deepwell plate preparation</t>
  </si>
  <si>
    <t>Tube preparation</t>
  </si>
  <si>
    <t>NTC &amp; PTC preparation (if needed)</t>
  </si>
  <si>
    <t>Barcode Preparation</t>
  </si>
  <si>
    <t>Sequencing reagent preparation</t>
    <phoneticPr fontId="3" type="noConversion"/>
  </si>
  <si>
    <t>Reagent Name</t>
    <phoneticPr fontId="3" type="noConversion"/>
  </si>
  <si>
    <t>Position</t>
    <phoneticPr fontId="3" type="noConversion"/>
  </si>
  <si>
    <t>dNTPs mix II</t>
  </si>
  <si>
    <t xml:space="preserve"> Sequencing enzyme mix</t>
  </si>
  <si>
    <t xml:space="preserve"> dNTPs mix III</t>
  </si>
  <si>
    <t>Negative Control</t>
  </si>
  <si>
    <t>Positive Control</t>
  </si>
  <si>
    <t>H6</t>
  </si>
  <si>
    <t>G6</t>
  </si>
  <si>
    <t>F6</t>
  </si>
  <si>
    <t>E6</t>
  </si>
  <si>
    <t>D6</t>
  </si>
  <si>
    <t>C6</t>
  </si>
  <si>
    <t>B6</t>
  </si>
  <si>
    <t>A6</t>
  </si>
  <si>
    <t>H5</t>
  </si>
  <si>
    <t>G5</t>
  </si>
  <si>
    <t>F5</t>
  </si>
  <si>
    <t>E5</t>
  </si>
  <si>
    <t>D5</t>
  </si>
  <si>
    <t>C5</t>
  </si>
  <si>
    <t>B5</t>
  </si>
  <si>
    <t>A5</t>
  </si>
  <si>
    <t>H4</t>
  </si>
  <si>
    <t>G4</t>
  </si>
  <si>
    <t>F4</t>
  </si>
  <si>
    <t>E4</t>
  </si>
  <si>
    <t>D4</t>
  </si>
  <si>
    <t>C4</t>
  </si>
  <si>
    <t>B4</t>
  </si>
  <si>
    <t>A4</t>
  </si>
  <si>
    <t>H3</t>
  </si>
  <si>
    <t>G3</t>
  </si>
  <si>
    <t>F3</t>
  </si>
  <si>
    <t>E3</t>
  </si>
  <si>
    <t>D3</t>
  </si>
  <si>
    <t>C3</t>
  </si>
  <si>
    <t>B3</t>
  </si>
  <si>
    <t>A3</t>
  </si>
  <si>
    <t>H2</t>
  </si>
  <si>
    <t>G2</t>
  </si>
  <si>
    <t>F2</t>
  </si>
  <si>
    <t>E2</t>
  </si>
  <si>
    <t>D2</t>
  </si>
  <si>
    <t>C2</t>
  </si>
  <si>
    <t>B2</t>
  </si>
  <si>
    <t>A2</t>
  </si>
  <si>
    <t>H1</t>
  </si>
  <si>
    <t>G1</t>
  </si>
  <si>
    <t>F1</t>
  </si>
  <si>
    <t>E1</t>
  </si>
  <si>
    <t>D1</t>
  </si>
  <si>
    <t>C1</t>
  </si>
  <si>
    <t>B1</t>
  </si>
  <si>
    <t>A1</t>
  </si>
  <si>
    <t>Barcode (ห้ามลบ)</t>
  </si>
  <si>
    <t>Sample ID (Halos)</t>
  </si>
  <si>
    <t>Position</t>
  </si>
  <si>
    <t>NO.</t>
  </si>
  <si>
    <t xml:space="preserve">Sample ID ห้ามลบ </t>
  </si>
  <si>
    <t>ตารางใส่ข้อมูล Plate 1</t>
  </si>
  <si>
    <t>Barcode</t>
  </si>
  <si>
    <t>Run…........ S1-1/3</t>
  </si>
  <si>
    <t>Run…........S2-1/3</t>
  </si>
  <si>
    <t>Run…........ S1-2/3</t>
  </si>
  <si>
    <t>Run…........ S2-2/3</t>
  </si>
  <si>
    <t>Blank Control</t>
  </si>
  <si>
    <t>Cyclization buffer (μL)</t>
  </si>
  <si>
    <t>1-128</t>
  </si>
  <si>
    <t>NIPT</t>
  </si>
  <si>
    <t>Volume（μL）</t>
  </si>
  <si>
    <t>Confirm（√）</t>
  </si>
  <si>
    <t>Run…........ S1-3/3</t>
  </si>
  <si>
    <t>Run…........S2-3/3</t>
  </si>
  <si>
    <t>Run…......../2026</t>
  </si>
  <si>
    <t>Extraction Lot no./Exp. Date</t>
  </si>
  <si>
    <t>Library Lot no./Exp. Date.</t>
  </si>
  <si>
    <t>✓</t>
  </si>
  <si>
    <t>Ref.Std. dsDNA</t>
  </si>
  <si>
    <t>Pool Library concentration (ng/μl)</t>
  </si>
  <si>
    <t>แผนผังตัวอย่าง</t>
  </si>
  <si>
    <t>ว/ด/ป ที่ปฏิบัติงาน</t>
  </si>
  <si>
    <t>การทดสอบ</t>
  </si>
  <si>
    <t>ผู้ปฏิบัติงาน</t>
  </si>
  <si>
    <t>หมายเลย Task</t>
  </si>
  <si>
    <t>ขั้นตอนการเตรียมการสกัดตัวอย่าง</t>
  </si>
  <si>
    <t>เปิดเครื่อง MGISP-100 และ Pre-clean (ประมาณ 20 นาที) ก่อนการใช้งาน</t>
  </si>
  <si>
    <t>รายการที่ 1, 2 และ 3 ให้เตรียมเฉพาะในการเปิดใช้งานครั้งแรกของชุดน้ำยาสกัด</t>
  </si>
  <si>
    <t xml:space="preserve">8. ทำการแบ่งน้ำยาลงใน 96-Deepwell plate ตามรูปที่กำหนด
</t>
  </si>
  <si>
    <t xml:space="preserve">9. แบ่ง Protease K ปริมาตร 190 μL ลงใน screw cap ขนาด 0.5 mL(จากชุดสกัดตัวอย่าง กล่องที่ 2 เก็บที่อุณหภูมิ 4⁰C) </t>
  </si>
  <si>
    <t xml:space="preserve">10. แบ่ง Magnetic Beads1 ปริมาตร 270 μL  ลงใน screw cap ขนาด 0.5 mL </t>
  </si>
  <si>
    <t xml:space="preserve">11. แบ่ง Magnetic Beads2 ปริมาตร 733 μL  ลงใน screw cap ขนาด 2 mL </t>
  </si>
  <si>
    <t xml:space="preserve">12. แบ่ง Magnetic Beads2 ปริมาตร 580 μL  ลงใน screw cap ขนาด 2 mL </t>
  </si>
  <si>
    <t>วางรายการที่ 8–12, skirted PCR plate อันใหม่ และตัวอย่างพลาสมาลงบนเครื่อง MGISP-100 ตาม extraction layout บนเครื่อง จากนั้นเริ่มกระบวนการสกัด</t>
  </si>
  <si>
    <r>
      <t xml:space="preserve">หมายเหตุ: </t>
    </r>
    <r>
      <rPr>
        <i/>
        <sz val="8"/>
        <rFont val="Times New Roman"/>
        <family val="1"/>
      </rPr>
      <t xml:space="preserve">DNA ที่สกัดแล้วสามารถเก็บที่อุณหภูมิ -20°C ได้ (หากดำเนินการต่อ ให้นำ skirted PCR plate </t>
    </r>
    <r>
      <rPr>
        <b/>
        <i/>
        <sz val="8"/>
        <rFont val="Times New Roman"/>
        <family val="1"/>
      </rPr>
      <t>(POS3)</t>
    </r>
    <r>
      <rPr>
        <i/>
        <sz val="8"/>
        <rFont val="Times New Roman"/>
        <family val="1"/>
      </rPr>
      <t xml:space="preserve"> และกล่องทิป 250 μL </t>
    </r>
    <r>
      <rPr>
        <b/>
        <i/>
        <sz val="8"/>
        <rFont val="Times New Roman"/>
        <family val="1"/>
      </rPr>
      <t>(POS2)</t>
    </r>
    <r>
      <rPr>
        <i/>
        <sz val="8"/>
        <rFont val="Times New Roman"/>
        <family val="1"/>
      </rPr>
      <t xml:space="preserve"> ไปใช้ในขั้นตอนถัดไป)</t>
    </r>
  </si>
  <si>
    <t>ขั้นตอนการเตรียมการไลบารี่ตัวอย่าง</t>
  </si>
  <si>
    <t xml:space="preserve">6. เตรียม 75% ethanol ตามปริมาตรที่ต้องการใช้ 
7. นำ Elution buffer (จากชุดสกัดตัวอย่าง กล่องที่ 2 เก็บที่อุณหภูมิ 4⁰C) </t>
  </si>
  <si>
    <t>1.นำ End repair buffer, Ligation buffer, PCR Ready mix และ PCR primers ออกจากชุดไลบารี่ กล่อง 1 ที่เก็บไว้ที่   -20°C และวางไว้ที่อุณหภูมิ 4⁰C จนละลายสมบูรณ์</t>
  </si>
  <si>
    <t xml:space="preserve">6. แบ่งน้ำยาลงใน 96-Deepwell plate ตามรูปที่กำหนด
7. นำ Elution buffer ออกจาก ออกจากชุดไลบารี่ กล่อง 1 เก็บที่อุณหภูมิ 4⁰C
</t>
  </si>
  <si>
    <t>4. Magnetic beads 1: วางที่อุณหภูมิห้อง 30 min 
(จากชุดสกัดตัวอย่าง กล่องที่ 2 เก็บที่อุณหภูมิ 4⁰C)</t>
  </si>
  <si>
    <t>5. Magnetic beads 2: วางที่อุณหภูมิห้อง 30 min   
(จากชุดสกัดตัวอย่าง กล่องที่ 2 เก็บที่อุณหภูมิ 4⁰C)</t>
  </si>
  <si>
    <t>2. Magnetic beads : วางที่อุณหภูมิห้อง 30 min   (ออกจากชุดไลบารี่ กล่อง 3 เก็บที่อุณหภูมิ 4⁰C)</t>
  </si>
  <si>
    <t>3. นำ Barcode จำนวน 2 strips ออกจากชุดไลบารี่ กล่อง 2 เก็บที่อุณหภูมิ -20⁰C เมื่อ Barcode ละลายจนสมบูรณ์แล้ว ให้ทำการ vortex และ spin down</t>
  </si>
  <si>
    <r>
      <t xml:space="preserve">8. แบ่ง Magnetic Beads ปริมาตร 740 μL  ลงใน screw cap ขนาด 2 mL  </t>
    </r>
    <r>
      <rPr>
        <i/>
        <sz val="9"/>
        <color rgb="FFFF0000"/>
        <rFont val="Times New Roman"/>
        <family val="1"/>
      </rPr>
      <t>(Position 5C)</t>
    </r>
  </si>
  <si>
    <r>
      <t xml:space="preserve">9. แบ่ง Magnetic Beads ปริมาตร 910 μL  ลงใน screw cap ขนาด 2 mL </t>
    </r>
    <r>
      <rPr>
        <i/>
        <sz val="9"/>
        <color rgb="FFFF0000"/>
        <rFont val="Times New Roman"/>
        <family val="1"/>
      </rPr>
      <t>(Position 5D)</t>
    </r>
  </si>
  <si>
    <r>
      <rPr>
        <sz val="9"/>
        <color rgb="FFFF0000"/>
        <rFont val="Times New Roman"/>
        <family val="1"/>
      </rPr>
      <t>1.</t>
    </r>
    <r>
      <rPr>
        <sz val="9"/>
        <color theme="1"/>
        <rFont val="Times New Roman"/>
        <family val="1"/>
      </rPr>
      <t xml:space="preserve"> Lysis buffer: เติม isopropanol ปริมาตร 14 mL   
(จากชุดสกัดตัวอย่าง กล่องที่ 1 เก็บที่อุณหภูมิห้อง เก็บให้พ้นแสง)</t>
    </r>
  </si>
  <si>
    <r>
      <rPr>
        <sz val="9"/>
        <color rgb="FFFF0000"/>
        <rFont val="Times New Roman"/>
        <family val="1"/>
      </rPr>
      <t>2.</t>
    </r>
    <r>
      <rPr>
        <sz val="9"/>
        <color theme="1"/>
        <rFont val="Times New Roman"/>
        <family val="1"/>
      </rPr>
      <t xml:space="preserve"> Wash buffer1: เติม anhydrous ethanol ปริมาตร 25 mL 
(จากชุดสกัดตัวอย่าง กล่องที่ 1 เก็บที่อุณหภูมิห้อง เก็บให้พ้นแสง)</t>
    </r>
  </si>
  <si>
    <r>
      <rPr>
        <sz val="9"/>
        <color rgb="FFFF0000"/>
        <rFont val="Times New Roman"/>
        <family val="1"/>
      </rPr>
      <t>3.</t>
    </r>
    <r>
      <rPr>
        <sz val="9"/>
        <color theme="1"/>
        <rFont val="Times New Roman"/>
        <family val="1"/>
      </rPr>
      <t xml:space="preserve"> Wash buffer2: เติม anhydrous ethanol ปริมาตร 64 mL 
(จากชุดสกัดตัวอย่าง กล่องที่ 1 เก็บที่อุณหภูมิห้อง เก็บให้พ้นแสง)</t>
    </r>
  </si>
  <si>
    <t>10. นำ End repair enzyme และ Ligase  ออกจากชุดไลบารี่ กล่อง 1 เก็บที่อุณหภูมิ -20⁰C ทำการ spin down</t>
  </si>
  <si>
    <t xml:space="preserve"> (เก็บ enzymeไว้บน Ice box)</t>
  </si>
  <si>
    <t xml:space="preserve">หมายเหตุ: Library product สามารถเก็บไว้ที่อุณหภูมิ -20°C </t>
  </si>
  <si>
    <t xml:space="preserve">4. นำ negative &amp; positive controls ออกจากชุดไลบารี่ กล่อง 1 เก็บที่อุณหภูมิ -20⁰C
5. Dilute negative และ positive controls อัตราส่วน 1:31 (3μL control+ 93μL ddH2O) ลงใน screw cap ขนาด 0.5 mL จากนั้นวางในตำแหน่ง Pos5 ที่ช่อง 6A และ 6E ตามลำดับ (หากไม่ต้องใช้ controls ปล่อยช่องให้ว่าง)
</t>
  </si>
  <si>
    <t>DNBSEQ-G50 Sequencing Record</t>
  </si>
  <si>
    <t>DD/MM/YYYY</t>
  </si>
  <si>
    <t xml:space="preserve">QC DNA Concentration </t>
  </si>
  <si>
    <t>ขั้นตอนการเตรียมการ Pooling DNA Library</t>
  </si>
  <si>
    <t>ขั้นตอนการเตรียมการวัดความเข้มข้น DNA Library product</t>
  </si>
  <si>
    <t>1. เตรียม Qubit tube ขนาด 0.5 mL ตามจำนวนที่ต้องการวัด</t>
  </si>
  <si>
    <t>ตัวอย่าง</t>
  </si>
  <si>
    <t>Buffer (uL)</t>
  </si>
  <si>
    <t>Standrad 1 หรือ 2 (uL)</t>
  </si>
  <si>
    <t>190</t>
  </si>
  <si>
    <t>10</t>
  </si>
  <si>
    <t>198</t>
  </si>
  <si>
    <t>2</t>
  </si>
  <si>
    <t>Sample (uL)</t>
  </si>
  <si>
    <t xml:space="preserve">Standard </t>
  </si>
  <si>
    <t xml:space="preserve">Standard 1 = </t>
  </si>
  <si>
    <t xml:space="preserve">Standard 2 = </t>
  </si>
  <si>
    <t>และวัดค่ากรอกค่าที่ได้</t>
  </si>
  <si>
    <t>2. เตรียมน้ำยา dsDNA ตามตารางดังต่อไปนี้</t>
  </si>
  <si>
    <r>
      <t xml:space="preserve">3. เริ่มจากเตรียม Standrad 1 และ 2 จากนั้น Vortex by hand </t>
    </r>
    <r>
      <rPr>
        <b/>
        <sz val="10"/>
        <color theme="1"/>
        <rFont val="Times New Roman"/>
        <family val="1"/>
      </rPr>
      <t xml:space="preserve">ห้ามโดนก้นหลอด </t>
    </r>
  </si>
  <si>
    <r>
      <rPr>
        <b/>
        <sz val="10"/>
        <color theme="1"/>
        <rFont val="Times New Roman"/>
        <family val="1"/>
      </rPr>
      <t>หมายเหตุ</t>
    </r>
    <r>
      <rPr>
        <sz val="10"/>
        <color theme="1"/>
        <rFont val="Times New Roman"/>
        <family val="1"/>
      </rPr>
      <t xml:space="preserve"> : ตัวอย่างและ Positive และ Negative control ควรมีความเข้มข้น ≥ 2 ng/ul </t>
    </r>
  </si>
  <si>
    <t>หากไม่เป็นไปตามเกณฑ์ให้เริ่มสกัดใหม่อีกครั้งในตัวอย่างที่ผ่านเกณฑ์</t>
  </si>
  <si>
    <t xml:space="preserve">Blank control ควรมีความเข้มข้น ≤ 0.6 ng/ul </t>
  </si>
  <si>
    <t>EB volume (ul)</t>
  </si>
  <si>
    <t>ที่ใช้สำหรับลงเครื่อง SP100</t>
  </si>
  <si>
    <t xml:space="preserve">ลงใน screw cap ขนาด 2 mL </t>
  </si>
  <si>
    <t>1. นำตัวอย่าง DNA library product ออกมาละลาย หลังจากนั้น Vortex และ Spindown</t>
  </si>
  <si>
    <t>2. เมื่อได้ปริมาตรในการ Pooling ของแต่ละตัวอย่าง ให้นำไปกรอกใน ไฟล์ .CSV</t>
  </si>
  <si>
    <t>3.เติม Elution buffer ตามปริมาตรที่ปรากฏในช่อง EB volume (ul)</t>
  </si>
  <si>
    <t>4. จัดเรียงอุปกรณ์ ตามหน้า Layout ขั้นตอนการ Pooling บนเครื่อง SP100 เริ่มการทำงาน</t>
  </si>
  <si>
    <t xml:space="preserve">5. หลังจากการ Pooling DNA Library ทำการวัดความเข้มข้นด้วย น้ำยา dsDNA </t>
  </si>
  <si>
    <t>6. เตรียมน้ำยา dsDNA ตามตารางดังต่อไปนี้</t>
  </si>
  <si>
    <r>
      <t xml:space="preserve">7. เริ่มจากเตรียม Standrad 1 และ 2 จากนั้น Vortex by hand </t>
    </r>
    <r>
      <rPr>
        <b/>
        <sz val="10"/>
        <color theme="1"/>
        <rFont val="Times New Roman"/>
        <family val="1"/>
      </rPr>
      <t xml:space="preserve">ห้ามโดนก้นหลอด </t>
    </r>
  </si>
  <si>
    <r>
      <t xml:space="preserve">4. เตรียมตัวอย่าง จากนั้น Vortex by hand </t>
    </r>
    <r>
      <rPr>
        <b/>
        <sz val="10"/>
        <color theme="1"/>
        <rFont val="Times New Roman"/>
        <family val="1"/>
      </rPr>
      <t>ห้ามโดนก้นหลอด</t>
    </r>
    <r>
      <rPr>
        <sz val="10"/>
        <color theme="1"/>
        <rFont val="Times New Roman"/>
        <family val="1"/>
      </rPr>
      <t xml:space="preserve"> </t>
    </r>
  </si>
  <si>
    <t>และวัดค่ากรอกค่าที่ได้ตามลำดับ</t>
  </si>
  <si>
    <r>
      <t xml:space="preserve">8. เตรียมตัวอย่าง จากนั้น Vortex by hand </t>
    </r>
    <r>
      <rPr>
        <b/>
        <sz val="10"/>
        <color theme="1"/>
        <rFont val="Times New Roman"/>
        <family val="1"/>
      </rPr>
      <t>ห้ามโดนก้นหลอด</t>
    </r>
    <r>
      <rPr>
        <sz val="10"/>
        <color theme="1"/>
        <rFont val="Times New Roman"/>
        <family val="1"/>
      </rPr>
      <t xml:space="preserve"> </t>
    </r>
  </si>
  <si>
    <t>และวัดค่ากรอกค่าที่ได้ ในช่อง Pool Library concentration (ng/μl)</t>
  </si>
  <si>
    <r>
      <rPr>
        <b/>
        <sz val="9"/>
        <color theme="1"/>
        <rFont val="Calibri"/>
        <family val="2"/>
        <scheme val="minor"/>
      </rPr>
      <t>หมายเหตุ :</t>
    </r>
    <r>
      <rPr>
        <sz val="9"/>
        <color theme="1"/>
        <rFont val="Calibri"/>
        <family val="2"/>
        <scheme val="minor"/>
      </rPr>
      <t xml:space="preserve"> เกณฑ์ของความเข้มข้น Pooling DNA Library คือ 3.00-3.60 ng/ul</t>
    </r>
  </si>
  <si>
    <t>เกณฑ์การยอมรับ 3.00-3.60 ng/ul</t>
  </si>
  <si>
    <t xml:space="preserve">ขั้นตอนการเตรียมการทำ DNB </t>
  </si>
  <si>
    <t>2. นำ cyclization Buffer, Make DNB Buffer, DNB Enzyme Mix I, Stop DNB Reaction buffer, DNB Load buffer I, DNB Load buffer II, Low TE, dNTPs Mix II, dNTPs Mix III</t>
  </si>
  <si>
    <t xml:space="preserve">1.นำ Sequencing cartridge ออกจาก ชุด Universal Sequencing Reaction เก็บที่อุณหภูมิ -20⁰C มาละลายที่ 4⁰C ข้ามคืน หรือ แช่น้ำจะกว่าจะละลายโดยสมบูรณ์ </t>
  </si>
  <si>
    <r>
      <rPr>
        <sz val="9"/>
        <rFont val="Times New Roman"/>
        <family val="1"/>
      </rPr>
      <t>หากยังไม่ใช้งานทันที่ให้เก็บที่อุณหภูมิ 4⁰C</t>
    </r>
    <r>
      <rPr>
        <b/>
        <sz val="9"/>
        <rFont val="Times New Roman"/>
        <family val="1"/>
      </rPr>
      <t xml:space="preserve">  (ห้ามนำ Sequencing cartridge ที่ละลายไม่สมบูรณ์มาใช้งาน)</t>
    </r>
  </si>
  <si>
    <t>ออกจาก ชุด Universal Sequencing Reaction เก็บที่อุณหภูมิ -20⁰C มาละลายที่ 4⁰C หลังจากนั้น Vortex และ Spindown</t>
  </si>
  <si>
    <t>3 เตรียม Cyclization mix (2 rxn)</t>
  </si>
  <si>
    <t>Ligase (μL)</t>
  </si>
  <si>
    <t xml:space="preserve">ผู้ปฏิบัติงาน </t>
  </si>
  <si>
    <t>ลงใน screw cap ขนาด 0.5 mL on ice</t>
  </si>
  <si>
    <t>5. นำ DNB Enzyme Mix II (LC) และ Ligase  ออกจาก ชุด Universal Sequencing Reaction เก็บที่อุณหภูมิ -20⁰C ทำการ spin down  (เก็บ enzymeไว้บน Ice box)</t>
  </si>
  <si>
    <t>วางรายการที่ 8–11, extracted PCR plate, 96-Deepwell plate ที่เตรียมไว้, Barcode และ controls (ถ้ามี) ลงบนเครื่อง MGISP-100 ตาม library construction layout บนเครื่อง จากนั้นเริ่มการทำงาน เมื่อเสร็จงานทำการ Post clean ตามที่เครื่อง SP100 แนะนำ</t>
  </si>
  <si>
    <t xml:space="preserve">Sample preparation </t>
  </si>
  <si>
    <r>
      <t xml:space="preserve">4. Vortex และ Spindown ตัวอย่าง Pooling DNA Library แบ่งใส่ break away plate โดย pool ที่ 1 จะเริ่มต้นที่ 1A เสมอ </t>
    </r>
    <r>
      <rPr>
        <b/>
        <u/>
        <sz val="9"/>
        <color rgb="FF000000"/>
        <rFont val="Times New Roman"/>
        <family val="1"/>
      </rPr>
      <t xml:space="preserve">ปริมาตร </t>
    </r>
    <r>
      <rPr>
        <b/>
        <u/>
        <sz val="9"/>
        <rFont val="Times New Roman"/>
        <family val="1"/>
      </rPr>
      <t>48 ul</t>
    </r>
  </si>
  <si>
    <t>QC measurements</t>
  </si>
  <si>
    <t>Fluorescent Dye ( uL)</t>
  </si>
  <si>
    <t>Buffer ( uL)</t>
  </si>
  <si>
    <t>7.เตรียมน้ำยา ssDNA mix ตามตารางดังต่อไปนี้ (ต่อ 1 rxn)</t>
  </si>
  <si>
    <t>8. เริ่มจากเตรียม Standrad 1 และ 2 จากนั้น Vortex by hand ห้ามโดนก้นหลอด และวัดค่ากรอกค่าที่ได้</t>
  </si>
  <si>
    <t>ssDNA mix (uL)</t>
  </si>
  <si>
    <t xml:space="preserve">9. เตรียมตัวอย่าง จากนั้น Vortex by hand ห้ามโดนก้นหลอด </t>
  </si>
  <si>
    <t>DNB concentration (ng/uL)</t>
  </si>
  <si>
    <t>Standard 2 Conc. =…...................ng/ul (ref. 19.9 ng/uL)</t>
  </si>
  <si>
    <t>Standard 2 Conc. =…...................ng/ul (ref. 9.9 ng/uL)</t>
  </si>
  <si>
    <t>(Ref. 8-50 ng/uL)</t>
  </si>
  <si>
    <t>DNB preparation</t>
  </si>
  <si>
    <r>
      <t xml:space="preserve">6. จัดเรียงอุปกรณ์ ตามหน้า Layout ขั้นตอนการ Pooling บนเครื่อง SP100 เริ่มการทำงาน </t>
    </r>
    <r>
      <rPr>
        <b/>
        <u/>
        <sz val="9"/>
        <rFont val="Times New Roman"/>
        <family val="1"/>
      </rPr>
      <t>กรอกค่าที่ SP 100 ถาม DNB 1 pool และเวลาที่ใช้ RCA 25 min</t>
    </r>
    <r>
      <rPr>
        <sz val="9"/>
        <color indexed="8"/>
        <rFont val="Times New Roman"/>
        <family val="1"/>
      </rPr>
      <t xml:space="preserve"> เมื่อเสร็จงานทำการ Post clean ตามที่เครื่อง SP100 แนะนำ</t>
    </r>
  </si>
  <si>
    <t>DNB Load Buffer 1 (μL)
ชุด Universal Sequencing Reaction เก็บที่อุณหภูมิ -20⁰C</t>
  </si>
  <si>
    <t>DNB Load Buffer 2(μL)
ชุด Universal Sequencing Reaction เก็บที่อุณหภูมิ -20⁰C</t>
  </si>
  <si>
    <t>Make DNB Enzyme II (μL) 
ชุด Universal Sequencing Reaction เก็บที่อุณหภูมิ -20⁰C</t>
  </si>
  <si>
    <t>Cartridge preparation</t>
  </si>
  <si>
    <r>
      <rPr>
        <sz val="9"/>
        <color rgb="FF000000"/>
        <rFont val="Times New Roman"/>
        <family val="1"/>
      </rPr>
      <t xml:space="preserve">ลงใน screw cap ขนาด 0.5 mL   </t>
    </r>
    <r>
      <rPr>
        <b/>
        <sz val="13"/>
        <color indexed="8"/>
        <rFont val="Times New Roman"/>
        <family val="1"/>
      </rPr>
      <t xml:space="preserve">                                  ใช้ wide Bore tip ในการผสม DNB</t>
    </r>
  </si>
  <si>
    <t>DNBYYYYMMDD</t>
  </si>
  <si>
    <t xml:space="preserve">ขั้นตอนการ Sequencing </t>
  </si>
  <si>
    <t xml:space="preserve">1. ล้างเครื่องก่อนใช้งานตามมาตรฐาน </t>
  </si>
  <si>
    <t>2. ก่อนรันเช็คพื้นที่ของ drive D จดค่า ควรมากกว่า 500 GB</t>
  </si>
  <si>
    <t>3. เมื่อเตรียมตัวอย่าง DNB และ cartridge เรียบร้อย นำมาเข้าเครื่อง G50 ทำตามขั้นตอนที่เครื่องสั่ง และจดค่าความดันที่เครื่องทำได้ในขณะใส่ Flow cell</t>
  </si>
  <si>
    <t>First Cycle:</t>
  </si>
  <si>
    <t>Loaded DNB</t>
  </si>
  <si>
    <t>Q30%</t>
  </si>
  <si>
    <t>BIC</t>
  </si>
  <si>
    <t>Fit</t>
  </si>
  <si>
    <t>ค่าที่ได้</t>
  </si>
  <si>
    <t>26N120260601</t>
  </si>
  <si>
    <t>26B260601001</t>
  </si>
  <si>
    <t>26B260601002</t>
  </si>
  <si>
    <t>26B260601003</t>
  </si>
  <si>
    <t>26B260601004</t>
  </si>
  <si>
    <t>26B260601005</t>
  </si>
  <si>
    <t>26B260601006</t>
  </si>
  <si>
    <t>26B260601007</t>
  </si>
  <si>
    <t>26B260601008</t>
  </si>
  <si>
    <t>26B260601009</t>
  </si>
  <si>
    <t>26B260601010</t>
  </si>
  <si>
    <t>26B260601011</t>
  </si>
  <si>
    <t>26B260601012</t>
  </si>
  <si>
    <t>26B260601013</t>
  </si>
  <si>
    <t>26B260601014</t>
  </si>
  <si>
    <t>26B260601015</t>
  </si>
  <si>
    <t>26B260601016</t>
  </si>
  <si>
    <t>26B260601017</t>
  </si>
  <si>
    <t>26B260601018</t>
  </si>
  <si>
    <t>26B260601019</t>
  </si>
  <si>
    <t>26B260601020</t>
  </si>
  <si>
    <t>26B260601021</t>
  </si>
  <si>
    <t>26B260601022</t>
  </si>
  <si>
    <t>26B260601023</t>
  </si>
  <si>
    <t>26N220260601</t>
  </si>
  <si>
    <t>26B260601024</t>
  </si>
  <si>
    <t>26B260601025</t>
  </si>
  <si>
    <t>26B260601026</t>
  </si>
  <si>
    <t>26B260601027</t>
  </si>
  <si>
    <t>26B260601028</t>
  </si>
  <si>
    <t>26B260601029</t>
  </si>
  <si>
    <t>26B260601030</t>
  </si>
  <si>
    <t>26B260601031</t>
  </si>
  <si>
    <t>26B260601032</t>
  </si>
  <si>
    <t>26B260601033</t>
  </si>
  <si>
    <t>26B260601034</t>
  </si>
  <si>
    <t>26B260601035</t>
  </si>
  <si>
    <t>26B260601036</t>
  </si>
  <si>
    <t>26N320260601</t>
  </si>
  <si>
    <t>26B260601037</t>
  </si>
  <si>
    <t>26B260601038</t>
  </si>
  <si>
    <t>26B260601039</t>
  </si>
  <si>
    <t>26B260601040</t>
  </si>
  <si>
    <t>26B260601041</t>
  </si>
  <si>
    <t>26B260601042</t>
  </si>
  <si>
    <t>26B260601043</t>
  </si>
  <si>
    <t>26B260601044</t>
  </si>
  <si>
    <t>26B260601045</t>
  </si>
  <si>
    <r>
      <t xml:space="preserve">NIPT DNA Extraction &amp; Library Preparation Task List
</t>
    </r>
    <r>
      <rPr>
        <b/>
        <sz val="13"/>
        <color rgb="FFFF0000"/>
        <rFont val="Times New Roman"/>
        <family val="1"/>
      </rPr>
      <t>(with fragment screening)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</si>
</sst>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15]General"/>
    <numFmt numFmtId="165" formatCode="[$-C0A]General"/>
    <numFmt numFmtId="166" formatCode="0.00_ "/>
  </numFmts>
  <fonts count="10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微软雅黑"/>
      <family val="2"/>
      <charset val="13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b/>
      <sz val="14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Calibri"/>
      <family val="2"/>
      <scheme val="minor"/>
    </font>
    <font>
      <sz val="9"/>
      <color theme="1"/>
      <name val="Arial Unicode MS"/>
      <family val="2"/>
    </font>
    <font>
      <sz val="9"/>
      <color theme="1"/>
      <name val="Calibri"/>
      <family val="2"/>
      <scheme val="minor"/>
    </font>
    <font>
      <sz val="11"/>
      <color theme="1"/>
      <name val="Tahoma"/>
      <family val="2"/>
    </font>
    <font>
      <sz val="9"/>
      <name val="Times New Roman"/>
      <family val="1"/>
    </font>
    <font>
      <b/>
      <sz val="8"/>
      <color indexed="8"/>
      <name val="Times New Roman"/>
      <family val="1"/>
    </font>
    <font>
      <b/>
      <sz val="12"/>
      <name val="Times New Roman"/>
      <family val="1"/>
    </font>
    <font>
      <b/>
      <sz val="8"/>
      <name val="Times New Roman"/>
      <family val="1"/>
    </font>
    <font>
      <sz val="10"/>
      <name val="Arial"/>
      <family val="2"/>
    </font>
    <font>
      <sz val="11"/>
      <color indexed="8"/>
      <name val="宋体"/>
      <family val="3"/>
      <charset val="134"/>
    </font>
    <font>
      <sz val="11"/>
      <color theme="0"/>
      <name val="Calibri"/>
      <family val="2"/>
      <scheme val="minor"/>
    </font>
    <font>
      <sz val="11"/>
      <color indexed="9"/>
      <name val="宋体"/>
      <family val="3"/>
      <charset val="134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indexed="5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2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1"/>
      <scheme val="major"/>
    </font>
    <font>
      <sz val="11"/>
      <color indexed="62"/>
      <name val="宋体"/>
      <family val="3"/>
      <charset val="134"/>
    </font>
    <font>
      <b/>
      <sz val="11"/>
      <color theme="3"/>
      <name val="Calibri"/>
      <family val="2"/>
      <scheme val="minor"/>
    </font>
    <font>
      <b/>
      <sz val="15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8"/>
      <name val="新細明體"/>
      <charset val="134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rgb="FF9C6500"/>
      <name val="Calibri"/>
      <family val="2"/>
      <scheme val="minor"/>
    </font>
    <font>
      <i/>
      <sz val="11"/>
      <color indexed="23"/>
      <name val="宋体"/>
      <family val="3"/>
      <charset val="134"/>
    </font>
    <font>
      <sz val="11"/>
      <color rgb="FF9C0006"/>
      <name val="Calibri"/>
      <family val="2"/>
      <scheme val="minor"/>
    </font>
    <font>
      <b/>
      <sz val="11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3"/>
      <color theme="3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2"/>
      <color indexed="8"/>
      <name val="宋体"/>
      <family val="3"/>
      <charset val="134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Times New Roman"/>
      <family val="1"/>
    </font>
    <font>
      <sz val="9"/>
      <color theme="1"/>
      <name val="Times New Roman"/>
      <family val="1"/>
    </font>
    <font>
      <b/>
      <sz val="14"/>
      <name val="Times New Roman"/>
      <family val="1"/>
    </font>
    <font>
      <b/>
      <sz val="8"/>
      <color theme="1"/>
      <name val="Times New Roman"/>
      <family val="1"/>
    </font>
    <font>
      <sz val="8"/>
      <color theme="1"/>
      <name val="Times New Roman"/>
      <family val="1"/>
    </font>
    <font>
      <sz val="8"/>
      <name val="Times New Roman"/>
      <family val="1"/>
    </font>
    <font>
      <sz val="9"/>
      <color rgb="FFFF0000"/>
      <name val="Times New Roman"/>
      <family val="1"/>
    </font>
    <font>
      <i/>
      <sz val="9"/>
      <color rgb="FFFF0000"/>
      <name val="Times New Roman"/>
      <family val="1"/>
    </font>
    <font>
      <i/>
      <sz val="9"/>
      <color theme="1"/>
      <name val="Times New Roman"/>
      <family val="1"/>
    </font>
    <font>
      <b/>
      <sz val="9"/>
      <name val="Times New Roman"/>
      <family val="1"/>
    </font>
    <font>
      <i/>
      <sz val="8"/>
      <name val="Times New Roman"/>
      <family val="1"/>
    </font>
    <font>
      <b/>
      <i/>
      <sz val="8"/>
      <name val="Times New Roman"/>
      <family val="1"/>
    </font>
    <font>
      <sz val="12"/>
      <color theme="1"/>
      <name val="Times New Roman"/>
      <family val="1"/>
    </font>
    <font>
      <sz val="18"/>
      <color theme="1"/>
      <name val="Angsana New"/>
      <family val="1"/>
    </font>
    <font>
      <b/>
      <sz val="18"/>
      <color rgb="FFFF0000"/>
      <name val="Angsana New"/>
      <family val="1"/>
    </font>
    <font>
      <b/>
      <sz val="18"/>
      <color theme="1"/>
      <name val="Angsana New"/>
      <family val="1"/>
    </font>
    <font>
      <sz val="16"/>
      <color theme="1"/>
      <name val="Times New Roman"/>
      <family val="1"/>
    </font>
    <font>
      <sz val="18"/>
      <name val="Angsana New"/>
      <family val="1"/>
    </font>
    <font>
      <b/>
      <sz val="16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sz val="16"/>
      <color theme="1"/>
      <name val="Times New Roman"/>
      <family val="1"/>
    </font>
    <font>
      <sz val="10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0" tint="-0.14999847407452621"/>
      <name val="Times New Roman"/>
      <family val="1"/>
    </font>
    <font>
      <sz val="9"/>
      <color indexed="8"/>
      <name val="Times New Roman"/>
      <family val="1"/>
    </font>
    <font>
      <sz val="14"/>
      <color indexed="8"/>
      <name val="Times New Roman"/>
      <family val="1"/>
    </font>
    <font>
      <b/>
      <sz val="10"/>
      <name val="Times New Roman"/>
      <family val="1"/>
    </font>
    <font>
      <b/>
      <sz val="12"/>
      <name val="Aptos Narrow"/>
      <family val="2"/>
    </font>
    <font>
      <b/>
      <sz val="10"/>
      <color theme="1"/>
      <name val="Times New Roman"/>
      <family val="1"/>
    </font>
    <font>
      <b/>
      <sz val="9"/>
      <color theme="1"/>
      <name val="Times New Roman"/>
      <family val="1"/>
    </font>
    <font>
      <b/>
      <sz val="13"/>
      <color theme="1"/>
      <name val="Times New Roman"/>
      <family val="1"/>
    </font>
    <font>
      <b/>
      <sz val="8"/>
      <color theme="0" tint="-0.14999847407452621"/>
      <name val="Times New Roman"/>
      <family val="1"/>
    </font>
    <font>
      <b/>
      <sz val="9"/>
      <color theme="0" tint="-4.9989318521683403E-2"/>
      <name val="微软雅黑"/>
    </font>
    <font>
      <sz val="9"/>
      <color theme="0" tint="-4.9989318521683403E-2"/>
      <name val="微软雅黑"/>
    </font>
    <font>
      <sz val="10"/>
      <color theme="1"/>
      <name val="Arial Unicode MS"/>
      <family val="2"/>
    </font>
    <font>
      <b/>
      <sz val="9"/>
      <color theme="1"/>
      <name val="Calibri"/>
      <family val="2"/>
      <scheme val="minor"/>
    </font>
    <font>
      <sz val="9"/>
      <color rgb="FF000000"/>
      <name val="Times New Roman"/>
      <family val="1"/>
    </font>
    <font>
      <b/>
      <sz val="9"/>
      <color indexed="8"/>
      <name val="Times New Roman"/>
      <family val="1"/>
    </font>
    <font>
      <b/>
      <u/>
      <sz val="9"/>
      <color rgb="FF000000"/>
      <name val="Times New Roman"/>
      <family val="1"/>
    </font>
    <font>
      <b/>
      <u/>
      <sz val="9"/>
      <name val="Times New Roman"/>
      <family val="1"/>
    </font>
    <font>
      <b/>
      <sz val="13"/>
      <color indexed="8"/>
      <name val="Times New Roman"/>
      <family val="1"/>
    </font>
    <font>
      <b/>
      <sz val="13"/>
      <name val="Times New Roman"/>
      <family val="1"/>
    </font>
    <font>
      <sz val="12"/>
      <color theme="0" tint="-0.14999847407452621"/>
      <name val="Times New Roman"/>
      <family val="1"/>
    </font>
    <font>
      <sz val="8"/>
      <name val="Calibri"/>
      <charset val="134"/>
      <scheme val="minor"/>
    </font>
    <font>
      <b/>
      <sz val="14"/>
      <color rgb="FF000000"/>
      <name val="Times New Roman"/>
      <family val="1"/>
    </font>
    <font>
      <b/>
      <sz val="13"/>
      <color rgb="FFFF0000"/>
      <name val="Times New Roman"/>
      <family val="1"/>
    </font>
  </fonts>
  <fills count="6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theme="4" tint="0.39994506668294322"/>
      </bottom>
      <diagonal/>
    </border>
    <border>
      <left/>
      <right/>
      <top/>
      <bottom style="thick">
        <color indexed="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</borders>
  <cellStyleXfs count="329">
    <xf numFmtId="0" fontId="0" fillId="0" borderId="0"/>
    <xf numFmtId="0" fontId="5" fillId="9" borderId="0" applyNumberFormat="0" applyBorder="0" applyAlignment="0" applyProtection="0"/>
    <xf numFmtId="0" fontId="27" fillId="5" borderId="66" applyNumberFormat="0" applyAlignment="0" applyProtection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0" fontId="24" fillId="11" borderId="63" applyNumberFormat="0" applyAlignment="0" applyProtection="0"/>
    <xf numFmtId="165" fontId="20" fillId="0" borderId="0">
      <alignment vertical="center"/>
    </xf>
    <xf numFmtId="165" fontId="5" fillId="0" borderId="0">
      <alignment vertical="center"/>
    </xf>
    <xf numFmtId="0" fontId="22" fillId="21" borderId="0" applyNumberFormat="0" applyBorder="0" applyAlignment="0" applyProtection="0">
      <alignment vertical="center"/>
    </xf>
    <xf numFmtId="0" fontId="5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0" fontId="20" fillId="0" borderId="0">
      <alignment vertical="center"/>
    </xf>
    <xf numFmtId="0" fontId="20" fillId="23" borderId="0" applyNumberFormat="0" applyBorder="0" applyAlignment="0" applyProtection="0">
      <alignment vertical="center"/>
    </xf>
    <xf numFmtId="0" fontId="5" fillId="10" borderId="0" applyNumberFormat="0" applyBorder="0" applyAlignment="0" applyProtection="0"/>
    <xf numFmtId="0" fontId="5" fillId="0" borderId="0">
      <alignment vertical="center"/>
    </xf>
    <xf numFmtId="165" fontId="20" fillId="0" borderId="0">
      <alignment vertical="center"/>
    </xf>
    <xf numFmtId="0" fontId="20" fillId="0" borderId="0">
      <alignment vertical="center"/>
    </xf>
    <xf numFmtId="165" fontId="5" fillId="0" borderId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0" fontId="44" fillId="0" borderId="75" applyNumberFormat="0" applyFill="0" applyAlignment="0" applyProtection="0">
      <alignment vertical="center"/>
    </xf>
    <xf numFmtId="165" fontId="45" fillId="0" borderId="0">
      <alignment vertical="center"/>
    </xf>
    <xf numFmtId="0" fontId="23" fillId="11" borderId="62" applyNumberFormat="0" applyAlignment="0" applyProtection="0"/>
    <xf numFmtId="165" fontId="5" fillId="0" borderId="0">
      <alignment vertical="center"/>
    </xf>
    <xf numFmtId="165" fontId="20" fillId="0" borderId="0">
      <alignment vertical="center"/>
    </xf>
    <xf numFmtId="0" fontId="32" fillId="24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165" fontId="5" fillId="0" borderId="0">
      <alignment vertical="center"/>
    </xf>
    <xf numFmtId="0" fontId="32" fillId="28" borderId="0" applyNumberFormat="0" applyBorder="0" applyAlignment="0" applyProtection="0">
      <alignment vertical="center"/>
    </xf>
    <xf numFmtId="0" fontId="26" fillId="5" borderId="65" applyNumberFormat="0" applyAlignment="0" applyProtection="0">
      <alignment vertical="center"/>
    </xf>
    <xf numFmtId="0" fontId="48" fillId="36" borderId="0" applyNumberFormat="0" applyBorder="0" applyAlignment="0" applyProtection="0"/>
    <xf numFmtId="165" fontId="19" fillId="0" borderId="0"/>
    <xf numFmtId="165" fontId="5" fillId="0" borderId="0">
      <alignment vertical="center"/>
    </xf>
    <xf numFmtId="0" fontId="5" fillId="40" borderId="0" applyNumberFormat="0" applyBorder="0" applyAlignment="0" applyProtection="0"/>
    <xf numFmtId="165" fontId="5" fillId="0" borderId="0">
      <alignment vertical="center"/>
    </xf>
    <xf numFmtId="0" fontId="5" fillId="43" borderId="0" applyNumberFormat="0" applyBorder="0" applyAlignment="0" applyProtection="0"/>
    <xf numFmtId="0" fontId="19" fillId="0" borderId="0"/>
    <xf numFmtId="0" fontId="5" fillId="47" borderId="0" applyNumberFormat="0" applyBorder="0" applyAlignment="0" applyProtection="0"/>
    <xf numFmtId="165" fontId="5" fillId="0" borderId="0">
      <alignment vertical="center"/>
    </xf>
    <xf numFmtId="0" fontId="20" fillId="22" borderId="0" applyNumberFormat="0" applyBorder="0" applyAlignment="0" applyProtection="0">
      <alignment vertical="center"/>
    </xf>
    <xf numFmtId="0" fontId="5" fillId="50" borderId="0" applyNumberFormat="0" applyBorder="0" applyAlignment="0" applyProtection="0"/>
    <xf numFmtId="0" fontId="5" fillId="34" borderId="0" applyNumberFormat="0" applyBorder="0" applyAlignment="0" applyProtection="0"/>
    <xf numFmtId="0" fontId="20" fillId="14" borderId="0" applyNumberFormat="0" applyBorder="0" applyAlignment="0" applyProtection="0">
      <alignment vertical="center"/>
    </xf>
    <xf numFmtId="0" fontId="14" fillId="0" borderId="0"/>
    <xf numFmtId="0" fontId="5" fillId="0" borderId="0"/>
    <xf numFmtId="165" fontId="20" fillId="0" borderId="0">
      <alignment vertical="center"/>
    </xf>
    <xf numFmtId="0" fontId="14" fillId="0" borderId="0"/>
    <xf numFmtId="0" fontId="5" fillId="0" borderId="0"/>
    <xf numFmtId="0" fontId="14" fillId="0" borderId="0"/>
    <xf numFmtId="0" fontId="5" fillId="0" borderId="0">
      <alignment vertical="center"/>
    </xf>
    <xf numFmtId="0" fontId="56" fillId="0" borderId="0" applyNumberFormat="0" applyFill="0" applyBorder="0" applyAlignment="0" applyProtection="0"/>
    <xf numFmtId="0" fontId="38" fillId="0" borderId="0" applyNumberFormat="0" applyFill="0" applyBorder="0" applyAlignment="0" applyProtection="0">
      <alignment vertical="center"/>
    </xf>
    <xf numFmtId="0" fontId="20" fillId="0" borderId="0">
      <alignment vertical="center"/>
    </xf>
    <xf numFmtId="165" fontId="5" fillId="0" borderId="0">
      <alignment vertical="center"/>
    </xf>
    <xf numFmtId="164" fontId="5" fillId="0" borderId="0">
      <alignment vertical="center"/>
    </xf>
    <xf numFmtId="0" fontId="5" fillId="46" borderId="0" applyNumberFormat="0" applyBorder="0" applyAlignment="0" applyProtection="0"/>
    <xf numFmtId="165" fontId="57" fillId="0" borderId="0">
      <alignment vertical="center"/>
    </xf>
    <xf numFmtId="165" fontId="5" fillId="0" borderId="0">
      <alignment vertical="center"/>
    </xf>
    <xf numFmtId="0" fontId="20" fillId="8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20" fillId="21" borderId="0" applyNumberFormat="0" applyBorder="0" applyAlignment="0" applyProtection="0">
      <alignment vertical="center"/>
    </xf>
    <xf numFmtId="0" fontId="5" fillId="33" borderId="0" applyNumberFormat="0" applyBorder="0" applyAlignment="0" applyProtection="0"/>
    <xf numFmtId="0" fontId="20" fillId="18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5" fillId="39" borderId="0" applyNumberFormat="0" applyBorder="0" applyAlignment="0" applyProtection="0"/>
    <xf numFmtId="0" fontId="20" fillId="8" borderId="0" applyNumberFormat="0" applyBorder="0" applyAlignment="0" applyProtection="0">
      <alignment vertical="center"/>
    </xf>
    <xf numFmtId="0" fontId="5" fillId="42" borderId="0" applyNumberFormat="0" applyBorder="0" applyAlignment="0" applyProtection="0"/>
    <xf numFmtId="0" fontId="20" fillId="19" borderId="0" applyNumberFormat="0" applyBorder="0" applyAlignment="0" applyProtection="0">
      <alignment vertical="center"/>
    </xf>
    <xf numFmtId="165" fontId="20" fillId="0" borderId="0">
      <alignment vertical="center"/>
    </xf>
    <xf numFmtId="0" fontId="20" fillId="0" borderId="0">
      <alignment vertical="center"/>
    </xf>
    <xf numFmtId="165" fontId="20" fillId="0" borderId="0" applyProtection="0">
      <alignment vertical="center"/>
    </xf>
    <xf numFmtId="0" fontId="5" fillId="0" borderId="0">
      <alignment vertical="center"/>
    </xf>
    <xf numFmtId="0" fontId="21" fillId="12" borderId="0" applyNumberFormat="0" applyBorder="0" applyAlignment="0" applyProtection="0"/>
    <xf numFmtId="0" fontId="47" fillId="0" borderId="0">
      <alignment vertical="center"/>
    </xf>
    <xf numFmtId="0" fontId="22" fillId="13" borderId="0" applyNumberFormat="0" applyBorder="0" applyAlignment="0" applyProtection="0">
      <alignment vertical="center"/>
    </xf>
    <xf numFmtId="0" fontId="5" fillId="0" borderId="0">
      <alignment vertical="center"/>
    </xf>
    <xf numFmtId="0" fontId="21" fillId="6" borderId="0" applyNumberFormat="0" applyBorder="0" applyAlignment="0" applyProtection="0"/>
    <xf numFmtId="0" fontId="22" fillId="31" borderId="0" applyNumberFormat="0" applyBorder="0" applyAlignment="0" applyProtection="0">
      <alignment vertical="center"/>
    </xf>
    <xf numFmtId="165" fontId="5" fillId="0" borderId="0">
      <alignment vertical="center"/>
    </xf>
    <xf numFmtId="0" fontId="21" fillId="38" borderId="0" applyNumberFormat="0" applyBorder="0" applyAlignment="0" applyProtection="0"/>
    <xf numFmtId="0" fontId="21" fillId="41" borderId="0" applyNumberFormat="0" applyBorder="0" applyAlignment="0" applyProtection="0"/>
    <xf numFmtId="0" fontId="22" fillId="18" borderId="0" applyNumberFormat="0" applyBorder="0" applyAlignment="0" applyProtection="0">
      <alignment vertical="center"/>
    </xf>
    <xf numFmtId="0" fontId="21" fillId="45" borderId="0" applyNumberFormat="0" applyBorder="0" applyAlignment="0" applyProtection="0"/>
    <xf numFmtId="0" fontId="22" fillId="13" borderId="0" applyNumberFormat="0" applyBorder="0" applyAlignment="0" applyProtection="0">
      <alignment vertical="center"/>
    </xf>
    <xf numFmtId="0" fontId="21" fillId="49" borderId="0" applyNumberFormat="0" applyBorder="0" applyAlignment="0" applyProtection="0"/>
    <xf numFmtId="0" fontId="22" fillId="20" borderId="0" applyNumberFormat="0" applyBorder="0" applyAlignment="0" applyProtection="0">
      <alignment vertical="center"/>
    </xf>
    <xf numFmtId="0" fontId="21" fillId="32" borderId="0" applyNumberFormat="0" applyBorder="0" applyAlignment="0" applyProtection="0"/>
    <xf numFmtId="0" fontId="22" fillId="35" borderId="0" applyNumberFormat="0" applyBorder="0" applyAlignment="0" applyProtection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40" fillId="0" borderId="0">
      <alignment vertical="center"/>
    </xf>
    <xf numFmtId="165" fontId="31" fillId="0" borderId="0">
      <alignment vertical="center"/>
    </xf>
    <xf numFmtId="165" fontId="20" fillId="0" borderId="0">
      <alignment vertical="center"/>
    </xf>
    <xf numFmtId="0" fontId="20" fillId="0" borderId="0">
      <alignment vertical="center"/>
    </xf>
    <xf numFmtId="165" fontId="40" fillId="0" borderId="0">
      <alignment vertical="center"/>
    </xf>
    <xf numFmtId="165" fontId="31" fillId="0" borderId="0">
      <alignment vertical="center"/>
    </xf>
    <xf numFmtId="165" fontId="31" fillId="0" borderId="0">
      <alignment vertical="center"/>
    </xf>
    <xf numFmtId="0" fontId="21" fillId="53" borderId="0" applyNumberFormat="0" applyBorder="0" applyAlignment="0" applyProtection="0"/>
    <xf numFmtId="165" fontId="20" fillId="0" borderId="0">
      <alignment vertical="center"/>
    </xf>
    <xf numFmtId="0" fontId="59" fillId="55" borderId="72" applyNumberFormat="0" applyAlignment="0" applyProtection="0"/>
    <xf numFmtId="0" fontId="5" fillId="0" borderId="0">
      <alignment vertical="center"/>
    </xf>
    <xf numFmtId="165" fontId="20" fillId="0" borderId="0" applyProtection="0">
      <alignment vertical="center"/>
    </xf>
    <xf numFmtId="0" fontId="55" fillId="0" borderId="0" applyProtection="0"/>
    <xf numFmtId="0" fontId="19" fillId="0" borderId="0" applyProtection="0"/>
    <xf numFmtId="0" fontId="5" fillId="0" borderId="0">
      <alignment vertical="center"/>
    </xf>
    <xf numFmtId="0" fontId="5" fillId="0" borderId="0">
      <alignment vertical="center"/>
    </xf>
    <xf numFmtId="0" fontId="20" fillId="0" borderId="0">
      <alignment vertical="center"/>
    </xf>
    <xf numFmtId="0" fontId="19" fillId="0" borderId="0"/>
    <xf numFmtId="165" fontId="5" fillId="0" borderId="0">
      <alignment vertical="center"/>
    </xf>
    <xf numFmtId="0" fontId="31" fillId="0" borderId="0">
      <alignment vertical="center"/>
    </xf>
    <xf numFmtId="0" fontId="20" fillId="0" borderId="0">
      <alignment vertical="center"/>
    </xf>
    <xf numFmtId="0" fontId="31" fillId="0" borderId="0"/>
    <xf numFmtId="0" fontId="5" fillId="0" borderId="0">
      <alignment vertical="center"/>
    </xf>
    <xf numFmtId="165" fontId="20" fillId="0" borderId="0">
      <alignment vertical="center"/>
    </xf>
    <xf numFmtId="0" fontId="5" fillId="0" borderId="0">
      <alignment vertical="center"/>
    </xf>
    <xf numFmtId="165" fontId="5" fillId="0" borderId="0">
      <alignment vertical="center"/>
    </xf>
    <xf numFmtId="0" fontId="54" fillId="0" borderId="79" applyNumberFormat="0" applyFill="0" applyAlignment="0" applyProtection="0"/>
    <xf numFmtId="165" fontId="20" fillId="0" borderId="0">
      <alignment vertical="center"/>
    </xf>
    <xf numFmtId="165" fontId="20" fillId="0" borderId="0">
      <alignment vertical="center"/>
    </xf>
    <xf numFmtId="0" fontId="20" fillId="0" borderId="0">
      <alignment vertical="center"/>
    </xf>
    <xf numFmtId="0" fontId="5" fillId="0" borderId="0">
      <alignment vertical="center"/>
    </xf>
    <xf numFmtId="0" fontId="36" fillId="0" borderId="69" applyNumberFormat="0" applyFill="0" applyAlignment="0" applyProtection="0">
      <alignment vertical="center"/>
    </xf>
    <xf numFmtId="0" fontId="53" fillId="0" borderId="78" applyNumberFormat="0" applyFill="0" applyAlignment="0" applyProtection="0"/>
    <xf numFmtId="0" fontId="29" fillId="0" borderId="67" applyNumberFormat="0" applyFill="0" applyAlignment="0" applyProtection="0">
      <alignment vertical="center"/>
    </xf>
    <xf numFmtId="165" fontId="20" fillId="0" borderId="0">
      <alignment vertical="center"/>
    </xf>
    <xf numFmtId="0" fontId="35" fillId="0" borderId="68" applyNumberFormat="0" applyFill="0" applyAlignment="0" applyProtection="0"/>
    <xf numFmtId="165" fontId="20" fillId="0" borderId="0">
      <alignment vertical="center"/>
    </xf>
    <xf numFmtId="0" fontId="30" fillId="0" borderId="73" applyNumberFormat="0" applyFill="0" applyAlignment="0" applyProtection="0">
      <alignment vertical="center"/>
    </xf>
    <xf numFmtId="0" fontId="35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/>
    <xf numFmtId="0" fontId="43" fillId="0" borderId="0" applyNumberFormat="0" applyFill="0" applyBorder="0" applyAlignment="0" applyProtection="0">
      <alignment vertical="center"/>
    </xf>
    <xf numFmtId="0" fontId="50" fillId="44" borderId="0" applyNumberFormat="0" applyBorder="0" applyAlignment="0" applyProtection="0"/>
    <xf numFmtId="0" fontId="37" fillId="15" borderId="0" applyNumberFormat="0" applyBorder="0" applyAlignment="0" applyProtection="0">
      <alignment vertical="center"/>
    </xf>
    <xf numFmtId="0" fontId="20" fillId="0" borderId="0">
      <alignment vertical="center"/>
    </xf>
    <xf numFmtId="165" fontId="20" fillId="0" borderId="0">
      <alignment vertical="center"/>
    </xf>
    <xf numFmtId="164" fontId="5" fillId="0" borderId="0">
      <alignment vertical="center"/>
    </xf>
    <xf numFmtId="0" fontId="28" fillId="0" borderId="0"/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0" fontId="5" fillId="0" borderId="0">
      <alignment vertical="center"/>
    </xf>
    <xf numFmtId="165" fontId="28" fillId="0" borderId="0"/>
    <xf numFmtId="165" fontId="20" fillId="0" borderId="0">
      <alignment vertical="center"/>
    </xf>
    <xf numFmtId="165" fontId="2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0" fontId="22" fillId="37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165" fontId="20" fillId="0" borderId="0" applyProtection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0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0" fontId="6" fillId="0" borderId="70" applyNumberFormat="0" applyFill="0" applyAlignment="0" applyProtection="0"/>
    <xf numFmtId="165" fontId="20" fillId="0" borderId="0">
      <alignment vertical="center"/>
    </xf>
    <xf numFmtId="164" fontId="5" fillId="0" borderId="0">
      <alignment vertical="center"/>
    </xf>
    <xf numFmtId="165" fontId="20" fillId="0" borderId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0" fontId="20" fillId="0" borderId="0">
      <alignment vertical="center"/>
    </xf>
    <xf numFmtId="165" fontId="20" fillId="0" borderId="0">
      <alignment vertical="center"/>
    </xf>
    <xf numFmtId="165" fontId="5" fillId="0" borderId="0">
      <alignment vertical="center"/>
    </xf>
    <xf numFmtId="0" fontId="20" fillId="0" borderId="0">
      <alignment vertical="center"/>
    </xf>
    <xf numFmtId="165" fontId="20" fillId="0" borderId="0">
      <alignment vertical="center"/>
    </xf>
    <xf numFmtId="0" fontId="58" fillId="54" borderId="63" applyNumberFormat="0" applyAlignment="0" applyProtection="0"/>
    <xf numFmtId="165" fontId="20" fillId="0" borderId="0">
      <alignment vertical="center"/>
    </xf>
    <xf numFmtId="0" fontId="34" fillId="14" borderId="65" applyNumberFormat="0" applyAlignment="0" applyProtection="0">
      <alignment vertical="center"/>
    </xf>
    <xf numFmtId="0" fontId="28" fillId="0" borderId="0"/>
    <xf numFmtId="165" fontId="20" fillId="0" borderId="0">
      <alignment vertical="center"/>
    </xf>
    <xf numFmtId="0" fontId="52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8" fillId="0" borderId="0"/>
    <xf numFmtId="165" fontId="28" fillId="0" borderId="0"/>
    <xf numFmtId="0" fontId="20" fillId="0" borderId="0">
      <alignment vertical="center"/>
    </xf>
    <xf numFmtId="0" fontId="22" fillId="20" borderId="0" applyNumberFormat="0" applyBorder="0" applyAlignment="0" applyProtection="0">
      <alignment vertical="center"/>
    </xf>
    <xf numFmtId="165" fontId="28" fillId="0" borderId="0"/>
    <xf numFmtId="164" fontId="5" fillId="0" borderId="0">
      <alignment vertical="center"/>
    </xf>
    <xf numFmtId="0" fontId="20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0" fontId="19" fillId="0" borderId="0"/>
    <xf numFmtId="165" fontId="20" fillId="0" borderId="0" applyProtection="0">
      <alignment vertical="center"/>
    </xf>
    <xf numFmtId="165" fontId="20" fillId="0" borderId="0">
      <alignment vertical="center"/>
    </xf>
    <xf numFmtId="165" fontId="28" fillId="0" borderId="0" applyProtection="0">
      <alignment vertical="center"/>
    </xf>
    <xf numFmtId="165" fontId="20" fillId="0" borderId="0">
      <alignment vertical="center"/>
    </xf>
    <xf numFmtId="165" fontId="5" fillId="0" borderId="0">
      <alignment vertical="center"/>
    </xf>
    <xf numFmtId="0" fontId="5" fillId="0" borderId="0"/>
    <xf numFmtId="165" fontId="20" fillId="0" borderId="0">
      <alignment vertical="center"/>
    </xf>
    <xf numFmtId="165" fontId="28" fillId="0" borderId="0"/>
    <xf numFmtId="0" fontId="21" fillId="58" borderId="0" applyNumberFormat="0" applyBorder="0" applyAlignment="0" applyProtection="0"/>
    <xf numFmtId="0" fontId="20" fillId="0" borderId="0">
      <alignment vertical="center"/>
    </xf>
    <xf numFmtId="165" fontId="20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165" fontId="5" fillId="0" borderId="0">
      <alignment vertical="center"/>
    </xf>
    <xf numFmtId="165" fontId="19" fillId="0" borderId="0"/>
    <xf numFmtId="0" fontId="20" fillId="0" borderId="0">
      <alignment vertical="center"/>
    </xf>
    <xf numFmtId="165" fontId="20" fillId="0" borderId="0">
      <alignment vertical="center"/>
    </xf>
    <xf numFmtId="0" fontId="14" fillId="0" borderId="0"/>
    <xf numFmtId="165" fontId="5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0" fontId="14" fillId="0" borderId="0"/>
    <xf numFmtId="165" fontId="5" fillId="0" borderId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0" fontId="20" fillId="0" borderId="0">
      <alignment vertical="center"/>
    </xf>
    <xf numFmtId="0" fontId="14" fillId="0" borderId="0"/>
    <xf numFmtId="0" fontId="14" fillId="0" borderId="0"/>
    <xf numFmtId="0" fontId="5" fillId="56" borderId="71" applyNumberFormat="0" applyFont="0" applyAlignment="0" applyProtection="0"/>
    <xf numFmtId="0" fontId="20" fillId="0" borderId="0">
      <alignment vertical="center"/>
    </xf>
    <xf numFmtId="165" fontId="5" fillId="0" borderId="0">
      <alignment vertical="center"/>
    </xf>
    <xf numFmtId="0" fontId="28" fillId="29" borderId="76" applyNumberFormat="0" applyFont="0" applyAlignment="0" applyProtection="0">
      <alignment vertical="center"/>
    </xf>
    <xf numFmtId="0" fontId="2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165" fontId="28" fillId="0" borderId="0"/>
    <xf numFmtId="0" fontId="20" fillId="0" borderId="0">
      <alignment vertical="center"/>
    </xf>
    <xf numFmtId="165" fontId="19" fillId="0" borderId="0" applyProtection="0"/>
    <xf numFmtId="165" fontId="20" fillId="0" borderId="0">
      <alignment vertical="center"/>
    </xf>
    <xf numFmtId="165" fontId="5" fillId="0" borderId="0">
      <alignment vertical="center"/>
    </xf>
    <xf numFmtId="165" fontId="20" fillId="0" borderId="0">
      <alignment vertical="center"/>
    </xf>
    <xf numFmtId="165" fontId="5" fillId="0" borderId="0">
      <alignment vertical="center"/>
    </xf>
    <xf numFmtId="164" fontId="5" fillId="0" borderId="0">
      <alignment vertical="center"/>
    </xf>
    <xf numFmtId="164" fontId="5" fillId="0" borderId="0">
      <alignment vertical="center"/>
    </xf>
    <xf numFmtId="164" fontId="5" fillId="0" borderId="0">
      <alignment vertical="center"/>
    </xf>
    <xf numFmtId="164" fontId="5" fillId="0" borderId="0">
      <alignment vertical="center"/>
    </xf>
    <xf numFmtId="165" fontId="20" fillId="0" borderId="0">
      <alignment vertical="center"/>
    </xf>
    <xf numFmtId="0" fontId="20" fillId="0" borderId="0">
      <alignment vertical="center"/>
    </xf>
    <xf numFmtId="0" fontId="60" fillId="57" borderId="0" applyNumberFormat="0" applyBorder="0" applyAlignment="0" applyProtection="0"/>
    <xf numFmtId="0" fontId="39" fillId="16" borderId="0" applyNumberFormat="0" applyBorder="0" applyAlignment="0" applyProtection="0">
      <alignment vertical="center"/>
    </xf>
    <xf numFmtId="0" fontId="42" fillId="0" borderId="74" applyNumberFormat="0" applyFill="0" applyAlignment="0" applyProtection="0">
      <alignment vertical="center"/>
    </xf>
    <xf numFmtId="165" fontId="5" fillId="0" borderId="0">
      <alignment vertical="center"/>
    </xf>
    <xf numFmtId="0" fontId="51" fillId="48" borderId="77" applyNumberFormat="0" applyAlignment="0" applyProtection="0">
      <alignment vertical="center"/>
    </xf>
    <xf numFmtId="0" fontId="46" fillId="0" borderId="0" applyNumberForma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0" fontId="25" fillId="0" borderId="64" applyNumberFormat="0" applyFill="0" applyAlignment="0" applyProtection="0"/>
    <xf numFmtId="0" fontId="22" fillId="7" borderId="0" applyNumberFormat="0" applyBorder="0" applyAlignment="0" applyProtection="0">
      <alignment vertical="center"/>
    </xf>
    <xf numFmtId="0" fontId="21" fillId="51" borderId="0" applyNumberFormat="0" applyBorder="0" applyAlignment="0" applyProtection="0"/>
    <xf numFmtId="0" fontId="22" fillId="30" borderId="0" applyNumberFormat="0" applyBorder="0" applyAlignment="0" applyProtection="0">
      <alignment vertical="center"/>
    </xf>
    <xf numFmtId="0" fontId="21" fillId="25" borderId="0" applyNumberFormat="0" applyBorder="0" applyAlignment="0" applyProtection="0"/>
    <xf numFmtId="0" fontId="21" fillId="52" borderId="0" applyNumberFormat="0" applyBorder="0" applyAlignment="0" applyProtection="0"/>
    <xf numFmtId="0" fontId="22" fillId="17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0" fontId="45" fillId="0" borderId="0">
      <alignment vertical="center"/>
    </xf>
    <xf numFmtId="165" fontId="20" fillId="0" borderId="0" applyProtection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45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20" fillId="0" borderId="0">
      <alignment vertical="center"/>
    </xf>
    <xf numFmtId="165" fontId="19" fillId="0" borderId="0" applyProtection="0"/>
    <xf numFmtId="165" fontId="20" fillId="0" borderId="0">
      <alignment vertical="center"/>
    </xf>
    <xf numFmtId="165" fontId="5" fillId="0" borderId="0">
      <alignment vertical="center"/>
    </xf>
    <xf numFmtId="165" fontId="5" fillId="0" borderId="0">
      <alignment vertical="center"/>
    </xf>
    <xf numFmtId="165" fontId="19" fillId="0" borderId="0"/>
    <xf numFmtId="165" fontId="19" fillId="0" borderId="0"/>
    <xf numFmtId="165" fontId="19" fillId="0" borderId="0"/>
    <xf numFmtId="165" fontId="19" fillId="0" borderId="0"/>
    <xf numFmtId="0" fontId="2" fillId="0" borderId="0"/>
  </cellStyleXfs>
  <cellXfs count="428">
    <xf numFmtId="0" fontId="0" fillId="0" borderId="0" xfId="0"/>
    <xf numFmtId="0" fontId="7" fillId="0" borderId="0" xfId="158" applyFont="1">
      <alignment vertical="center"/>
    </xf>
    <xf numFmtId="0" fontId="7" fillId="0" borderId="0" xfId="158" applyFont="1" applyAlignment="1">
      <alignment horizontal="center" vertical="center"/>
    </xf>
    <xf numFmtId="0" fontId="11" fillId="0" borderId="35" xfId="0" applyFont="1" applyBorder="1"/>
    <xf numFmtId="0" fontId="11" fillId="0" borderId="51" xfId="0" applyFont="1" applyBorder="1"/>
    <xf numFmtId="0" fontId="8" fillId="0" borderId="52" xfId="158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top" wrapText="1"/>
    </xf>
    <xf numFmtId="2" fontId="13" fillId="0" borderId="16" xfId="0" applyNumberFormat="1" applyFont="1" applyBorder="1"/>
    <xf numFmtId="166" fontId="8" fillId="0" borderId="53" xfId="158" applyNumberFormat="1" applyFont="1" applyBorder="1" applyAlignment="1">
      <alignment horizontal="center" vertical="center"/>
    </xf>
    <xf numFmtId="2" fontId="13" fillId="0" borderId="3" xfId="0" applyNumberFormat="1" applyFont="1" applyBorder="1"/>
    <xf numFmtId="0" fontId="8" fillId="0" borderId="53" xfId="158" applyFont="1" applyBorder="1" applyAlignment="1">
      <alignment horizontal="center" vertical="center"/>
    </xf>
    <xf numFmtId="2" fontId="8" fillId="0" borderId="53" xfId="158" applyNumberFormat="1" applyFont="1" applyBorder="1" applyAlignment="1">
      <alignment horizontal="center" vertical="center"/>
    </xf>
    <xf numFmtId="2" fontId="13" fillId="0" borderId="19" xfId="0" applyNumberFormat="1" applyFont="1" applyBorder="1"/>
    <xf numFmtId="0" fontId="11" fillId="0" borderId="0" xfId="0" applyFont="1"/>
    <xf numFmtId="0" fontId="12" fillId="0" borderId="0" xfId="0" applyFont="1"/>
    <xf numFmtId="0" fontId="12" fillId="0" borderId="31" xfId="158" applyFont="1" applyBorder="1" applyAlignment="1">
      <alignment horizontal="center" vertical="center"/>
    </xf>
    <xf numFmtId="2" fontId="14" fillId="0" borderId="43" xfId="242" applyNumberFormat="1" applyBorder="1" applyAlignment="1">
      <alignment horizontal="center" vertical="center"/>
    </xf>
    <xf numFmtId="0" fontId="12" fillId="0" borderId="34" xfId="158" applyFont="1" applyBorder="1" applyAlignment="1">
      <alignment horizontal="center" vertical="center"/>
    </xf>
    <xf numFmtId="0" fontId="12" fillId="0" borderId="60" xfId="158" applyFont="1" applyBorder="1" applyAlignment="1">
      <alignment horizontal="center" vertical="center"/>
    </xf>
    <xf numFmtId="0" fontId="0" fillId="0" borderId="0" xfId="0" applyAlignment="1">
      <alignment wrapText="1"/>
    </xf>
    <xf numFmtId="0" fontId="18" fillId="4" borderId="1" xfId="0" applyFont="1" applyFill="1" applyBorder="1" applyAlignment="1">
      <alignment horizontal="center" vertical="center" wrapText="1"/>
    </xf>
    <xf numFmtId="0" fontId="16" fillId="0" borderId="1" xfId="282" applyFont="1" applyBorder="1">
      <alignment vertical="center"/>
    </xf>
    <xf numFmtId="0" fontId="17" fillId="4" borderId="1" xfId="0" applyFont="1" applyFill="1" applyBorder="1" applyAlignment="1">
      <alignment horizontal="center" vertical="center"/>
    </xf>
    <xf numFmtId="0" fontId="62" fillId="0" borderId="1" xfId="328" applyFont="1" applyBorder="1" applyAlignment="1">
      <alignment horizontal="center" vertical="center"/>
    </xf>
    <xf numFmtId="0" fontId="75" fillId="0" borderId="0" xfId="0" applyFont="1"/>
    <xf numFmtId="0" fontId="75" fillId="0" borderId="1" xfId="0" applyFont="1" applyBorder="1" applyAlignment="1">
      <alignment horizontal="center" vertical="center"/>
    </xf>
    <xf numFmtId="0" fontId="75" fillId="2" borderId="1" xfId="0" applyFont="1" applyFill="1" applyBorder="1" applyAlignment="1">
      <alignment horizontal="center" vertical="center"/>
    </xf>
    <xf numFmtId="0" fontId="76" fillId="32" borderId="1" xfId="0" applyFont="1" applyFill="1" applyBorder="1" applyAlignment="1">
      <alignment horizontal="center" vertical="center"/>
    </xf>
    <xf numFmtId="0" fontId="77" fillId="32" borderId="1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  <xf numFmtId="0" fontId="66" fillId="0" borderId="25" xfId="0" applyFont="1" applyBorder="1" applyAlignment="1">
      <alignment horizontal="left" vertical="top" wrapText="1"/>
    </xf>
    <xf numFmtId="0" fontId="78" fillId="0" borderId="3" xfId="0" applyFont="1" applyBorder="1" applyAlignment="1">
      <alignment horizontal="left" vertical="top"/>
    </xf>
    <xf numFmtId="0" fontId="66" fillId="0" borderId="25" xfId="0" applyFont="1" applyBorder="1" applyAlignment="1">
      <alignment horizontal="left" vertical="top"/>
    </xf>
    <xf numFmtId="0" fontId="75" fillId="59" borderId="0" xfId="0" applyFont="1" applyFill="1"/>
    <xf numFmtId="0" fontId="75" fillId="59" borderId="1" xfId="0" applyFont="1" applyFill="1" applyBorder="1" applyAlignment="1">
      <alignment horizontal="center" vertical="center"/>
    </xf>
    <xf numFmtId="0" fontId="79" fillId="0" borderId="1" xfId="0" applyFont="1" applyBorder="1" applyAlignment="1">
      <alignment horizontal="center" vertical="center"/>
    </xf>
    <xf numFmtId="0" fontId="62" fillId="0" borderId="15" xfId="0" applyFont="1" applyBorder="1" applyAlignment="1" applyProtection="1">
      <alignment horizontal="center" vertical="center"/>
      <protection locked="0"/>
    </xf>
    <xf numFmtId="0" fontId="81" fillId="0" borderId="1" xfId="0" applyFont="1" applyBorder="1" applyAlignment="1" applyProtection="1">
      <alignment horizontal="center" vertical="center" wrapText="1"/>
      <protection locked="0"/>
    </xf>
    <xf numFmtId="0" fontId="81" fillId="0" borderId="22" xfId="0" applyFont="1" applyBorder="1" applyAlignment="1" applyProtection="1">
      <alignment horizontal="center" vertical="center" wrapText="1"/>
      <protection locked="0"/>
    </xf>
    <xf numFmtId="0" fontId="81" fillId="0" borderId="2" xfId="0" applyFont="1" applyBorder="1" applyAlignment="1" applyProtection="1">
      <alignment horizontal="center" vertical="center" wrapText="1"/>
      <protection locked="0"/>
    </xf>
    <xf numFmtId="0" fontId="62" fillId="0" borderId="16" xfId="0" applyFont="1" applyBorder="1" applyAlignment="1" applyProtection="1">
      <alignment horizontal="center" vertical="center"/>
      <protection locked="0"/>
    </xf>
    <xf numFmtId="0" fontId="74" fillId="0" borderId="49" xfId="0" applyFont="1" applyBorder="1" applyAlignment="1" applyProtection="1">
      <alignment horizontal="center" vertical="center"/>
      <protection locked="0"/>
    </xf>
    <xf numFmtId="0" fontId="85" fillId="0" borderId="22" xfId="0" applyFont="1" applyBorder="1" applyAlignment="1" applyProtection="1">
      <alignment horizontal="center" vertical="center" wrapText="1"/>
      <protection locked="0"/>
    </xf>
    <xf numFmtId="0" fontId="62" fillId="0" borderId="22" xfId="0" applyFont="1" applyBorder="1" applyAlignment="1" applyProtection="1">
      <alignment horizontal="left" vertical="center" wrapText="1"/>
      <protection locked="0"/>
    </xf>
    <xf numFmtId="0" fontId="88" fillId="4" borderId="1" xfId="0" applyFont="1" applyFill="1" applyBorder="1" applyAlignment="1">
      <alignment horizontal="center" vertical="center" wrapText="1"/>
    </xf>
    <xf numFmtId="49" fontId="17" fillId="4" borderId="3" xfId="0" applyNumberFormat="1" applyFont="1" applyFill="1" applyBorder="1" applyAlignment="1">
      <alignment vertical="center" wrapText="1"/>
    </xf>
    <xf numFmtId="49" fontId="17" fillId="4" borderId="25" xfId="0" applyNumberFormat="1" applyFont="1" applyFill="1" applyBorder="1" applyAlignment="1">
      <alignment vertical="center" wrapText="1"/>
    </xf>
    <xf numFmtId="49" fontId="89" fillId="4" borderId="1" xfId="0" applyNumberFormat="1" applyFont="1" applyFill="1" applyBorder="1" applyAlignment="1">
      <alignment horizontal="center" vertical="center" wrapText="1"/>
    </xf>
    <xf numFmtId="0" fontId="66" fillId="0" borderId="1" xfId="0" applyFont="1" applyBorder="1" applyAlignment="1">
      <alignment horizontal="left" vertical="top" wrapText="1"/>
    </xf>
    <xf numFmtId="49" fontId="17" fillId="4" borderId="50" xfId="0" applyNumberFormat="1" applyFont="1" applyFill="1" applyBorder="1" applyAlignment="1">
      <alignment vertical="center" wrapText="1"/>
    </xf>
    <xf numFmtId="49" fontId="17" fillId="4" borderId="27" xfId="0" applyNumberFormat="1" applyFont="1" applyFill="1" applyBorder="1" applyAlignment="1">
      <alignment vertical="center" wrapText="1"/>
    </xf>
    <xf numFmtId="0" fontId="66" fillId="0" borderId="1" xfId="0" applyFont="1" applyBorder="1" applyAlignment="1">
      <alignment horizontal="left" vertical="top"/>
    </xf>
    <xf numFmtId="2" fontId="13" fillId="0" borderId="6" xfId="0" applyNumberFormat="1" applyFont="1" applyBorder="1"/>
    <xf numFmtId="2" fontId="13" fillId="0" borderId="0" xfId="0" applyNumberFormat="1" applyFont="1"/>
    <xf numFmtId="0" fontId="10" fillId="0" borderId="29" xfId="0" applyFont="1" applyBorder="1" applyAlignment="1">
      <alignment horizontal="center"/>
    </xf>
    <xf numFmtId="0" fontId="81" fillId="0" borderId="12" xfId="0" applyFont="1" applyBorder="1" applyAlignment="1" applyProtection="1">
      <alignment horizontal="center" vertical="center" wrapText="1"/>
      <protection locked="0"/>
    </xf>
    <xf numFmtId="0" fontId="16" fillId="0" borderId="1" xfId="282" applyFont="1" applyBorder="1" applyAlignment="1">
      <alignment horizontal="left" vertical="center" wrapText="1"/>
    </xf>
    <xf numFmtId="0" fontId="18" fillId="4" borderId="3" xfId="0" applyFont="1" applyFill="1" applyBorder="1" applyAlignment="1">
      <alignment horizontal="center" vertical="center" wrapText="1"/>
    </xf>
    <xf numFmtId="0" fontId="16" fillId="0" borderId="0" xfId="282" applyFont="1" applyAlignment="1">
      <alignment horizontal="left" vertical="center" wrapText="1"/>
    </xf>
    <xf numFmtId="2" fontId="90" fillId="0" borderId="6" xfId="158" applyNumberFormat="1" applyFont="1" applyBorder="1" applyAlignment="1"/>
    <xf numFmtId="2" fontId="90" fillId="0" borderId="20" xfId="158" applyNumberFormat="1" applyFont="1" applyBorder="1" applyAlignment="1"/>
    <xf numFmtId="49" fontId="90" fillId="0" borderId="0" xfId="158" applyNumberFormat="1" applyFont="1" applyAlignment="1"/>
    <xf numFmtId="49" fontId="90" fillId="0" borderId="38" xfId="158" applyNumberFormat="1" applyFont="1" applyBorder="1" applyAlignment="1"/>
    <xf numFmtId="49" fontId="90" fillId="0" borderId="21" xfId="158" applyNumberFormat="1" applyFont="1" applyBorder="1" applyAlignment="1"/>
    <xf numFmtId="49" fontId="90" fillId="0" borderId="42" xfId="158" applyNumberFormat="1" applyFont="1" applyBorder="1" applyAlignment="1"/>
    <xf numFmtId="49" fontId="90" fillId="0" borderId="1" xfId="158" applyNumberFormat="1" applyFont="1" applyBorder="1" applyAlignment="1">
      <alignment horizontal="center" vertical="center"/>
    </xf>
    <xf numFmtId="49" fontId="90" fillId="0" borderId="2" xfId="158" applyNumberFormat="1" applyFont="1" applyBorder="1" applyAlignment="1">
      <alignment horizontal="center" vertical="center"/>
    </xf>
    <xf numFmtId="49" fontId="90" fillId="0" borderId="0" xfId="158" applyNumberFormat="1" applyFont="1">
      <alignment vertical="center"/>
    </xf>
    <xf numFmtId="2" fontId="14" fillId="0" borderId="32" xfId="242" applyNumberFormat="1" applyBorder="1" applyAlignment="1">
      <alignment horizontal="center" vertical="center"/>
    </xf>
    <xf numFmtId="0" fontId="63" fillId="0" borderId="0" xfId="0" applyFont="1"/>
    <xf numFmtId="0" fontId="63" fillId="0" borderId="1" xfId="0" applyFont="1" applyBorder="1"/>
    <xf numFmtId="0" fontId="16" fillId="0" borderId="5" xfId="282" applyFont="1" applyBorder="1" applyAlignment="1">
      <alignment horizontal="center" vertical="center" wrapText="1"/>
    </xf>
    <xf numFmtId="0" fontId="0" fillId="0" borderId="5" xfId="0" applyBorder="1"/>
    <xf numFmtId="0" fontId="99" fillId="61" borderId="93" xfId="282" applyFont="1" applyFill="1" applyBorder="1" applyAlignment="1">
      <alignment horizontal="center" vertical="center" wrapText="1"/>
    </xf>
    <xf numFmtId="0" fontId="99" fillId="61" borderId="88" xfId="282" applyFont="1" applyFill="1" applyBorder="1" applyAlignment="1">
      <alignment horizontal="center" vertical="center" wrapText="1"/>
    </xf>
    <xf numFmtId="0" fontId="91" fillId="61" borderId="55" xfId="158" applyFont="1" applyFill="1" applyBorder="1" applyAlignment="1">
      <alignment horizontal="center" vertical="center"/>
    </xf>
    <xf numFmtId="0" fontId="91" fillId="61" borderId="55" xfId="0" applyFont="1" applyFill="1" applyBorder="1" applyAlignment="1">
      <alignment horizontal="center" vertical="center" wrapText="1"/>
    </xf>
    <xf numFmtId="0" fontId="81" fillId="61" borderId="55" xfId="158" applyFont="1" applyFill="1" applyBorder="1" applyAlignment="1">
      <alignment horizontal="center" vertical="center"/>
    </xf>
    <xf numFmtId="0" fontId="71" fillId="61" borderId="13" xfId="0" applyFont="1" applyFill="1" applyBorder="1" applyAlignment="1">
      <alignment horizontal="center" vertical="center" wrapText="1"/>
    </xf>
    <xf numFmtId="0" fontId="91" fillId="61" borderId="93" xfId="0" applyFont="1" applyFill="1" applyBorder="1" applyAlignment="1">
      <alignment horizontal="center"/>
    </xf>
    <xf numFmtId="0" fontId="91" fillId="61" borderId="93" xfId="0" applyFont="1" applyFill="1" applyBorder="1"/>
    <xf numFmtId="0" fontId="91" fillId="61" borderId="89" xfId="0" applyFont="1" applyFill="1" applyBorder="1" applyAlignment="1">
      <alignment horizontal="center"/>
    </xf>
    <xf numFmtId="0" fontId="63" fillId="0" borderId="8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 applyProtection="1">
      <alignment horizontal="center" vertical="center" wrapText="1"/>
      <protection locked="0"/>
    </xf>
    <xf numFmtId="0" fontId="16" fillId="0" borderId="61" xfId="282" applyFont="1" applyBorder="1" applyAlignment="1">
      <alignment horizontal="left" vertical="center" wrapText="1"/>
    </xf>
    <xf numFmtId="0" fontId="91" fillId="61" borderId="58" xfId="0" applyFont="1" applyFill="1" applyBorder="1" applyAlignment="1">
      <alignment horizontal="center"/>
    </xf>
    <xf numFmtId="0" fontId="91" fillId="61" borderId="56" xfId="0" applyFont="1" applyFill="1" applyBorder="1" applyAlignment="1">
      <alignment horizontal="center"/>
    </xf>
    <xf numFmtId="0" fontId="63" fillId="0" borderId="103" xfId="0" applyFont="1" applyBorder="1"/>
    <xf numFmtId="0" fontId="91" fillId="61" borderId="47" xfId="0" applyFont="1" applyFill="1" applyBorder="1" applyAlignment="1">
      <alignment horizontal="center"/>
    </xf>
    <xf numFmtId="0" fontId="16" fillId="0" borderId="46" xfId="282" applyFont="1" applyBorder="1" applyAlignment="1">
      <alignment horizontal="center" vertical="center" wrapText="1"/>
    </xf>
    <xf numFmtId="0" fontId="62" fillId="0" borderId="49" xfId="328" applyFont="1" applyBorder="1" applyAlignment="1">
      <alignment horizontal="center" vertical="center" wrapText="1"/>
    </xf>
    <xf numFmtId="0" fontId="16" fillId="0" borderId="5" xfId="282" applyFont="1" applyBorder="1" applyAlignment="1">
      <alignment horizontal="left" vertical="center" wrapText="1"/>
    </xf>
    <xf numFmtId="0" fontId="62" fillId="0" borderId="2" xfId="328" applyFont="1" applyBorder="1" applyAlignment="1">
      <alignment horizontal="center" vertical="center"/>
    </xf>
    <xf numFmtId="0" fontId="74" fillId="0" borderId="2" xfId="328" applyFont="1" applyBorder="1"/>
    <xf numFmtId="0" fontId="74" fillId="0" borderId="99" xfId="328" applyFont="1" applyBorder="1"/>
    <xf numFmtId="0" fontId="62" fillId="0" borderId="3" xfId="328" applyFont="1" applyBorder="1" applyAlignment="1">
      <alignment horizontal="center" vertical="center"/>
    </xf>
    <xf numFmtId="0" fontId="62" fillId="0" borderId="3" xfId="328" applyFont="1" applyBorder="1" applyAlignment="1">
      <alignment horizontal="center" vertical="center" wrapText="1"/>
    </xf>
    <xf numFmtId="0" fontId="62" fillId="0" borderId="100" xfId="328" applyFont="1" applyBorder="1" applyAlignment="1">
      <alignment horizontal="center" vertical="center"/>
    </xf>
    <xf numFmtId="0" fontId="74" fillId="0" borderId="57" xfId="0" applyFont="1" applyBorder="1" applyAlignment="1" applyProtection="1">
      <alignment horizontal="center" vertical="center"/>
      <protection locked="0"/>
    </xf>
    <xf numFmtId="0" fontId="62" fillId="0" borderId="24" xfId="328" applyFont="1" applyBorder="1" applyAlignment="1">
      <alignment horizontal="center" vertical="center"/>
    </xf>
    <xf numFmtId="0" fontId="62" fillId="0" borderId="22" xfId="328" applyFont="1" applyBorder="1" applyAlignment="1">
      <alignment horizontal="center" vertical="center"/>
    </xf>
    <xf numFmtId="0" fontId="62" fillId="0" borderId="23" xfId="328" applyFont="1" applyBorder="1" applyAlignment="1">
      <alignment horizontal="center" vertical="center"/>
    </xf>
    <xf numFmtId="0" fontId="81" fillId="0" borderId="29" xfId="0" applyFont="1" applyBorder="1" applyAlignment="1" applyProtection="1">
      <alignment horizontal="center" vertical="center"/>
      <protection locked="0"/>
    </xf>
    <xf numFmtId="0" fontId="81" fillId="0" borderId="104" xfId="0" applyFont="1" applyBorder="1" applyAlignment="1" applyProtection="1">
      <alignment horizontal="center" vertical="center"/>
      <protection locked="0"/>
    </xf>
    <xf numFmtId="0" fontId="83" fillId="0" borderId="87" xfId="0" applyFont="1" applyBorder="1" applyAlignment="1" applyProtection="1">
      <alignment horizontal="center" vertical="center"/>
      <protection locked="0"/>
    </xf>
    <xf numFmtId="0" fontId="74" fillId="0" borderId="9" xfId="0" applyFont="1" applyBorder="1" applyAlignment="1" applyProtection="1">
      <alignment horizontal="center" vertical="center"/>
      <protection locked="0"/>
    </xf>
    <xf numFmtId="0" fontId="74" fillId="0" borderId="39" xfId="0" applyFont="1" applyBorder="1" applyAlignment="1" applyProtection="1">
      <alignment horizontal="center" vertical="center"/>
      <protection locked="0"/>
    </xf>
    <xf numFmtId="0" fontId="74" fillId="0" borderId="0" xfId="0" applyFont="1" applyAlignment="1" applyProtection="1">
      <alignment horizontal="center" vertical="center"/>
      <protection locked="0"/>
    </xf>
    <xf numFmtId="0" fontId="74" fillId="0" borderId="0" xfId="0" applyFont="1" applyAlignment="1" applyProtection="1">
      <alignment horizontal="center" vertical="center"/>
      <protection hidden="1"/>
    </xf>
    <xf numFmtId="0" fontId="74" fillId="0" borderId="22" xfId="0" applyFont="1" applyBorder="1" applyAlignment="1" applyProtection="1">
      <alignment horizontal="left" vertical="center"/>
      <protection locked="0"/>
    </xf>
    <xf numFmtId="0" fontId="62" fillId="0" borderId="1" xfId="0" applyFont="1" applyBorder="1" applyAlignment="1" applyProtection="1">
      <alignment horizontal="left" vertical="center"/>
      <protection locked="0"/>
    </xf>
    <xf numFmtId="0" fontId="91" fillId="61" borderId="6" xfId="0" applyFont="1" applyFill="1" applyBorder="1"/>
    <xf numFmtId="0" fontId="91" fillId="61" borderId="38" xfId="0" applyFont="1" applyFill="1" applyBorder="1"/>
    <xf numFmtId="0" fontId="74" fillId="0" borderId="38" xfId="0" applyFont="1" applyBorder="1" applyAlignment="1" applyProtection="1">
      <alignment horizontal="center" vertical="center"/>
      <protection hidden="1"/>
    </xf>
    <xf numFmtId="0" fontId="83" fillId="0" borderId="93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>
      <alignment horizontal="center"/>
    </xf>
    <xf numFmtId="0" fontId="74" fillId="0" borderId="30" xfId="0" applyFont="1" applyBorder="1" applyAlignment="1" applyProtection="1">
      <alignment horizontal="center" vertical="center"/>
      <protection locked="0"/>
    </xf>
    <xf numFmtId="0" fontId="84" fillId="0" borderId="11" xfId="0" applyFont="1" applyBorder="1" applyAlignment="1" applyProtection="1">
      <alignment horizontal="center" vertical="center"/>
      <protection locked="0"/>
    </xf>
    <xf numFmtId="0" fontId="74" fillId="0" borderId="83" xfId="0" applyFont="1" applyBorder="1" applyAlignment="1" applyProtection="1">
      <alignment horizontal="center" vertical="center"/>
      <protection locked="0"/>
    </xf>
    <xf numFmtId="0" fontId="74" fillId="0" borderId="5" xfId="0" applyFont="1" applyBorder="1" applyAlignment="1" applyProtection="1">
      <alignment horizontal="center" vertical="center"/>
      <protection locked="0"/>
    </xf>
    <xf numFmtId="0" fontId="66" fillId="0" borderId="50" xfId="0" applyFont="1" applyBorder="1" applyAlignment="1">
      <alignment vertical="top" wrapText="1"/>
    </xf>
    <xf numFmtId="0" fontId="77" fillId="32" borderId="3" xfId="0" applyFont="1" applyFill="1" applyBorder="1" applyAlignment="1">
      <alignment horizontal="center"/>
    </xf>
    <xf numFmtId="0" fontId="77" fillId="32" borderId="25" xfId="0" applyFont="1" applyFill="1" applyBorder="1" applyAlignment="1">
      <alignment horizontal="center"/>
    </xf>
    <xf numFmtId="0" fontId="77" fillId="32" borderId="2" xfId="0" applyFont="1" applyFill="1" applyBorder="1" applyAlignment="1">
      <alignment horizontal="center"/>
    </xf>
    <xf numFmtId="0" fontId="78" fillId="0" borderId="25" xfId="0" applyFont="1" applyBorder="1" applyAlignment="1">
      <alignment horizontal="center" vertical="center" wrapText="1"/>
    </xf>
    <xf numFmtId="0" fontId="78" fillId="0" borderId="2" xfId="0" applyFont="1" applyBorder="1" applyAlignment="1">
      <alignment horizontal="center" vertical="center" wrapText="1"/>
    </xf>
    <xf numFmtId="0" fontId="78" fillId="0" borderId="3" xfId="0" applyFont="1" applyBorder="1" applyAlignment="1">
      <alignment horizontal="center" vertical="center" wrapText="1"/>
    </xf>
    <xf numFmtId="0" fontId="17" fillId="0" borderId="1" xfId="282" applyFont="1" applyBorder="1" applyAlignment="1">
      <alignment horizontal="center" vertical="center" wrapText="1" shrinkToFit="1"/>
    </xf>
    <xf numFmtId="49" fontId="17" fillId="4" borderId="3" xfId="0" applyNumberFormat="1" applyFont="1" applyFill="1" applyBorder="1" applyAlignment="1">
      <alignment horizontal="center" vertical="center" wrapText="1"/>
    </xf>
    <xf numFmtId="49" fontId="17" fillId="4" borderId="25" xfId="0" applyNumberFormat="1" applyFont="1" applyFill="1" applyBorder="1" applyAlignment="1">
      <alignment horizontal="center" vertical="center" wrapText="1"/>
    </xf>
    <xf numFmtId="49" fontId="17" fillId="4" borderId="2" xfId="0" applyNumberFormat="1" applyFont="1" applyFill="1" applyBorder="1" applyAlignment="1">
      <alignment horizontal="center" vertical="center" wrapText="1"/>
    </xf>
    <xf numFmtId="49" fontId="17" fillId="4" borderId="1" xfId="0" applyNumberFormat="1" applyFont="1" applyFill="1" applyBorder="1" applyAlignment="1">
      <alignment horizontal="center" vertical="center" wrapText="1"/>
    </xf>
    <xf numFmtId="22" fontId="93" fillId="0" borderId="3" xfId="282" applyNumberFormat="1" applyFont="1" applyBorder="1" applyAlignment="1">
      <alignment horizontal="center" vertical="center" wrapText="1"/>
    </xf>
    <xf numFmtId="22" fontId="93" fillId="0" borderId="25" xfId="282" applyNumberFormat="1" applyFont="1" applyBorder="1" applyAlignment="1">
      <alignment horizontal="center" vertical="center" wrapText="1"/>
    </xf>
    <xf numFmtId="22" fontId="93" fillId="0" borderId="2" xfId="282" applyNumberFormat="1" applyFont="1" applyBorder="1" applyAlignment="1">
      <alignment horizontal="center" vertical="center" wrapText="1"/>
    </xf>
    <xf numFmtId="22" fontId="87" fillId="0" borderId="3" xfId="282" applyNumberFormat="1" applyFont="1" applyBorder="1" applyAlignment="1">
      <alignment horizontal="left" vertical="center" wrapText="1"/>
    </xf>
    <xf numFmtId="22" fontId="87" fillId="0" borderId="25" xfId="282" applyNumberFormat="1" applyFont="1" applyBorder="1" applyAlignment="1">
      <alignment horizontal="left" vertical="center" wrapText="1"/>
    </xf>
    <xf numFmtId="22" fontId="87" fillId="0" borderId="2" xfId="282" applyNumberFormat="1" applyFont="1" applyBorder="1" applyAlignment="1">
      <alignment horizontal="left" vertical="center" wrapText="1"/>
    </xf>
    <xf numFmtId="0" fontId="65" fillId="0" borderId="1" xfId="0" applyFont="1" applyBorder="1" applyAlignment="1">
      <alignment horizontal="center" vertical="center"/>
    </xf>
    <xf numFmtId="0" fontId="16" fillId="0" borderId="3" xfId="282" applyFont="1" applyBorder="1" applyAlignment="1">
      <alignment horizontal="center" vertical="center"/>
    </xf>
    <xf numFmtId="0" fontId="16" fillId="0" borderId="25" xfId="282" applyFont="1" applyBorder="1" applyAlignment="1">
      <alignment horizontal="center" vertical="center"/>
    </xf>
    <xf numFmtId="0" fontId="16" fillId="0" borderId="2" xfId="282" applyFont="1" applyBorder="1" applyAlignment="1">
      <alignment horizontal="center" vertical="center"/>
    </xf>
    <xf numFmtId="0" fontId="16" fillId="0" borderId="1" xfId="282" applyFont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70" fillId="0" borderId="1" xfId="0" applyFont="1" applyBorder="1" applyAlignment="1">
      <alignment horizontal="center" vertical="center"/>
    </xf>
    <xf numFmtId="0" fontId="71" fillId="4" borderId="1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63" fillId="0" borderId="1" xfId="0" applyFont="1" applyBorder="1" applyAlignment="1">
      <alignment horizontal="left" vertical="top"/>
    </xf>
    <xf numFmtId="0" fontId="67" fillId="4" borderId="1" xfId="0" applyFont="1" applyFill="1" applyBorder="1" applyAlignment="1">
      <alignment horizontal="left" vertical="center" wrapText="1"/>
    </xf>
    <xf numFmtId="0" fontId="73" fillId="4" borderId="1" xfId="0" applyFont="1" applyFill="1" applyBorder="1" applyAlignment="1">
      <alignment horizontal="left" vertical="center" wrapText="1"/>
    </xf>
    <xf numFmtId="0" fontId="72" fillId="4" borderId="1" xfId="0" applyFont="1" applyFill="1" applyBorder="1" applyAlignment="1">
      <alignment horizontal="left" vertical="center" wrapText="1"/>
    </xf>
    <xf numFmtId="0" fontId="63" fillId="0" borderId="1" xfId="0" applyFont="1" applyBorder="1" applyAlignment="1">
      <alignment horizontal="left" vertical="top" wrapText="1"/>
    </xf>
    <xf numFmtId="0" fontId="67" fillId="4" borderId="22" xfId="0" applyFont="1" applyFill="1" applyBorder="1" applyAlignment="1">
      <alignment horizontal="left" vertical="center" wrapText="1"/>
    </xf>
    <xf numFmtId="0" fontId="18" fillId="4" borderId="3" xfId="0" applyFont="1" applyFill="1" applyBorder="1" applyAlignment="1">
      <alignment horizontal="center" vertical="center" wrapText="1"/>
    </xf>
    <xf numFmtId="0" fontId="63" fillId="0" borderId="4" xfId="0" applyFont="1" applyBorder="1" applyAlignment="1">
      <alignment horizontal="left" vertical="top"/>
    </xf>
    <xf numFmtId="0" fontId="63" fillId="0" borderId="5" xfId="0" applyFont="1" applyBorder="1" applyAlignment="1">
      <alignment horizontal="left" vertical="top"/>
    </xf>
    <xf numFmtId="0" fontId="63" fillId="0" borderId="13" xfId="0" applyFont="1" applyBorder="1" applyAlignment="1">
      <alignment horizontal="left" vertical="top"/>
    </xf>
    <xf numFmtId="0" fontId="63" fillId="0" borderId="49" xfId="0" applyFont="1" applyBorder="1" applyAlignment="1">
      <alignment horizontal="left" vertical="top"/>
    </xf>
    <xf numFmtId="0" fontId="15" fillId="0" borderId="1" xfId="0" applyFont="1" applyBorder="1" applyAlignment="1">
      <alignment horizontal="left" vertical="top" wrapText="1"/>
    </xf>
    <xf numFmtId="0" fontId="15" fillId="0" borderId="3" xfId="0" applyFont="1" applyBorder="1" applyAlignment="1">
      <alignment horizontal="left" vertical="center" wrapText="1"/>
    </xf>
    <xf numFmtId="0" fontId="71" fillId="0" borderId="25" xfId="0" applyFont="1" applyBorder="1" applyAlignment="1">
      <alignment horizontal="left" vertical="center" wrapText="1"/>
    </xf>
    <xf numFmtId="0" fontId="71" fillId="0" borderId="2" xfId="0" applyFont="1" applyBorder="1" applyAlignment="1">
      <alignment horizontal="left" vertical="center" wrapText="1"/>
    </xf>
    <xf numFmtId="0" fontId="18" fillId="4" borderId="49" xfId="0" applyFont="1" applyFill="1" applyBorder="1" applyAlignment="1">
      <alignment horizontal="center" vertical="center" wrapText="1"/>
    </xf>
    <xf numFmtId="0" fontId="18" fillId="4" borderId="22" xfId="0" applyFont="1" applyFill="1" applyBorder="1" applyAlignment="1">
      <alignment horizontal="center" vertical="center" wrapText="1"/>
    </xf>
    <xf numFmtId="0" fontId="15" fillId="0" borderId="25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left" vertical="center" wrapText="1"/>
    </xf>
    <xf numFmtId="0" fontId="63" fillId="0" borderId="45" xfId="0" applyFont="1" applyBorder="1" applyAlignment="1">
      <alignment horizontal="left" vertical="top"/>
    </xf>
    <xf numFmtId="0" fontId="63" fillId="0" borderId="46" xfId="0" applyFont="1" applyBorder="1" applyAlignment="1">
      <alignment horizontal="left" vertical="top"/>
    </xf>
    <xf numFmtId="0" fontId="63" fillId="0" borderId="47" xfId="0" applyFont="1" applyBorder="1" applyAlignment="1">
      <alignment horizontal="left" vertical="top"/>
    </xf>
    <xf numFmtId="0" fontId="106" fillId="0" borderId="50" xfId="0" applyFont="1" applyBorder="1" applyAlignment="1">
      <alignment horizontal="center" vertical="center" wrapText="1"/>
    </xf>
    <xf numFmtId="0" fontId="64" fillId="0" borderId="27" xfId="0" applyFont="1" applyBorder="1" applyAlignment="1">
      <alignment horizontal="center" vertical="center" wrapText="1"/>
    </xf>
    <xf numFmtId="0" fontId="64" fillId="0" borderId="80" xfId="0" applyFont="1" applyBorder="1" applyAlignment="1">
      <alignment horizontal="center" vertical="center" wrapText="1"/>
    </xf>
    <xf numFmtId="0" fontId="64" fillId="0" borderId="81" xfId="0" applyFont="1" applyBorder="1" applyAlignment="1">
      <alignment horizontal="center" vertical="center" wrapText="1"/>
    </xf>
    <xf numFmtId="0" fontId="64" fillId="0" borderId="0" xfId="0" applyFont="1" applyAlignment="1">
      <alignment horizontal="center" vertical="center" wrapText="1"/>
    </xf>
    <xf numFmtId="0" fontId="64" fillId="0" borderId="82" xfId="0" applyFont="1" applyBorder="1" applyAlignment="1">
      <alignment horizontal="center" vertical="center" wrapText="1"/>
    </xf>
    <xf numFmtId="0" fontId="64" fillId="0" borderId="23" xfId="0" applyFont="1" applyBorder="1" applyAlignment="1">
      <alignment horizontal="center" vertical="center" wrapText="1"/>
    </xf>
    <xf numFmtId="0" fontId="64" fillId="0" borderId="21" xfId="0" applyFont="1" applyBorder="1" applyAlignment="1">
      <alignment horizontal="center" vertical="center" wrapText="1"/>
    </xf>
    <xf numFmtId="0" fontId="64" fillId="0" borderId="24" xfId="0" applyFont="1" applyBorder="1" applyAlignment="1">
      <alignment horizontal="center" vertical="center" wrapText="1"/>
    </xf>
    <xf numFmtId="0" fontId="15" fillId="0" borderId="50" xfId="0" applyFont="1" applyBorder="1" applyAlignment="1">
      <alignment horizontal="center" vertical="center" wrapText="1"/>
    </xf>
    <xf numFmtId="0" fontId="15" fillId="0" borderId="81" xfId="0" applyFont="1" applyBorder="1" applyAlignment="1">
      <alignment horizontal="center" vertical="center" wrapText="1"/>
    </xf>
    <xf numFmtId="0" fontId="15" fillId="0" borderId="23" xfId="0" applyFont="1" applyBorder="1" applyAlignment="1">
      <alignment horizontal="center" vertical="center" wrapText="1"/>
    </xf>
    <xf numFmtId="0" fontId="66" fillId="0" borderId="3" xfId="0" applyFont="1" applyBorder="1" applyAlignment="1">
      <alignment horizontal="center" vertical="center"/>
    </xf>
    <xf numFmtId="0" fontId="66" fillId="0" borderId="25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9" fillId="0" borderId="1" xfId="0" applyFont="1" applyBorder="1" applyAlignment="1">
      <alignment horizontal="left" vertical="top"/>
    </xf>
    <xf numFmtId="49" fontId="17" fillId="4" borderId="49" xfId="0" applyNumberFormat="1" applyFont="1" applyFill="1" applyBorder="1" applyAlignment="1">
      <alignment horizontal="center" vertical="center" wrapText="1"/>
    </xf>
    <xf numFmtId="0" fontId="62" fillId="0" borderId="1" xfId="0" applyFont="1" applyBorder="1" applyAlignment="1">
      <alignment horizontal="center"/>
    </xf>
    <xf numFmtId="0" fontId="15" fillId="0" borderId="49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9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12" fillId="0" borderId="31" xfId="158" applyFont="1" applyBorder="1" applyAlignment="1">
      <alignment horizontal="center" vertical="center"/>
    </xf>
    <xf numFmtId="0" fontId="12" fillId="0" borderId="60" xfId="158" applyFont="1" applyBorder="1" applyAlignment="1">
      <alignment horizontal="center" vertical="center"/>
    </xf>
    <xf numFmtId="0" fontId="4" fillId="0" borderId="59" xfId="158" applyFont="1" applyBorder="1" applyAlignment="1">
      <alignment horizontal="center" vertical="center"/>
    </xf>
    <xf numFmtId="0" fontId="4" fillId="0" borderId="61" xfId="158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0" fontId="91" fillId="0" borderId="59" xfId="158" applyFont="1" applyBorder="1" applyAlignment="1">
      <alignment horizontal="center" vertical="center"/>
    </xf>
    <xf numFmtId="0" fontId="91" fillId="0" borderId="54" xfId="158" applyFont="1" applyBorder="1" applyAlignment="1">
      <alignment horizontal="center" vertical="center"/>
    </xf>
    <xf numFmtId="0" fontId="12" fillId="0" borderId="7" xfId="158" applyFont="1" applyBorder="1" applyAlignment="1">
      <alignment horizontal="center" vertical="center"/>
    </xf>
    <xf numFmtId="0" fontId="12" fillId="0" borderId="33" xfId="158" applyFont="1" applyBorder="1" applyAlignment="1">
      <alignment horizontal="center" vertical="center"/>
    </xf>
    <xf numFmtId="0" fontId="12" fillId="0" borderId="10" xfId="158" applyFont="1" applyBorder="1" applyAlignment="1">
      <alignment horizontal="center" vertical="center"/>
    </xf>
    <xf numFmtId="0" fontId="12" fillId="0" borderId="3" xfId="158" applyFont="1" applyBorder="1" applyAlignment="1">
      <alignment horizontal="center" vertical="center"/>
    </xf>
    <xf numFmtId="0" fontId="12" fillId="0" borderId="48" xfId="158" applyFont="1" applyBorder="1" applyAlignment="1">
      <alignment horizontal="center" vertical="center"/>
    </xf>
    <xf numFmtId="0" fontId="12" fillId="0" borderId="50" xfId="158" applyFont="1" applyBorder="1" applyAlignment="1">
      <alignment horizontal="center" vertical="center"/>
    </xf>
    <xf numFmtId="0" fontId="9" fillId="0" borderId="7" xfId="158" applyFont="1" applyBorder="1" applyAlignment="1">
      <alignment horizontal="center" vertical="center"/>
    </xf>
    <xf numFmtId="0" fontId="9" fillId="0" borderId="8" xfId="158" applyFont="1" applyBorder="1" applyAlignment="1">
      <alignment horizontal="center" vertical="center"/>
    </xf>
    <xf numFmtId="0" fontId="9" fillId="0" borderId="33" xfId="158" applyFont="1" applyBorder="1" applyAlignment="1">
      <alignment horizontal="center" vertical="center"/>
    </xf>
    <xf numFmtId="0" fontId="9" fillId="0" borderId="15" xfId="158" applyFont="1" applyBorder="1" applyAlignment="1">
      <alignment horizontal="center" vertical="center"/>
    </xf>
    <xf numFmtId="0" fontId="9" fillId="0" borderId="17" xfId="158" applyFont="1" applyBorder="1" applyAlignment="1">
      <alignment horizontal="center" vertical="center"/>
    </xf>
    <xf numFmtId="0" fontId="9" fillId="0" borderId="18" xfId="158" applyFont="1" applyBorder="1" applyAlignment="1">
      <alignment horizontal="center" vertical="center"/>
    </xf>
    <xf numFmtId="0" fontId="9" fillId="0" borderId="28" xfId="158" applyFont="1" applyBorder="1" applyAlignment="1">
      <alignment horizontal="center" vertical="center"/>
    </xf>
    <xf numFmtId="0" fontId="9" fillId="0" borderId="100" xfId="158" applyFont="1" applyBorder="1" applyAlignment="1">
      <alignment horizontal="center" vertical="center"/>
    </xf>
    <xf numFmtId="0" fontId="9" fillId="0" borderId="19" xfId="158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90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2" fontId="92" fillId="0" borderId="6" xfId="158" applyNumberFormat="1" applyFont="1" applyBorder="1" applyAlignment="1">
      <alignment horizontal="left"/>
    </xf>
    <xf numFmtId="2" fontId="92" fillId="0" borderId="0" xfId="158" applyNumberFormat="1" applyFont="1" applyAlignment="1">
      <alignment horizontal="left"/>
    </xf>
    <xf numFmtId="2" fontId="92" fillId="0" borderId="38" xfId="158" applyNumberFormat="1" applyFont="1" applyBorder="1" applyAlignment="1">
      <alignment horizontal="left"/>
    </xf>
    <xf numFmtId="2" fontId="92" fillId="0" borderId="20" xfId="158" applyNumberFormat="1" applyFont="1" applyBorder="1" applyAlignment="1">
      <alignment horizontal="left"/>
    </xf>
    <xf numFmtId="2" fontId="92" fillId="0" borderId="21" xfId="158" applyNumberFormat="1" applyFont="1" applyBorder="1" applyAlignment="1">
      <alignment horizontal="left"/>
    </xf>
    <xf numFmtId="2" fontId="92" fillId="0" borderId="42" xfId="158" applyNumberFormat="1" applyFont="1" applyBorder="1" applyAlignment="1">
      <alignment horizontal="left"/>
    </xf>
    <xf numFmtId="2" fontId="92" fillId="0" borderId="26" xfId="158" applyNumberFormat="1" applyFont="1" applyBorder="1" applyAlignment="1">
      <alignment horizontal="left"/>
    </xf>
    <xf numFmtId="2" fontId="90" fillId="0" borderId="27" xfId="158" applyNumberFormat="1" applyFont="1" applyBorder="1" applyAlignment="1">
      <alignment horizontal="left"/>
    </xf>
    <xf numFmtId="2" fontId="90" fillId="0" borderId="41" xfId="158" applyNumberFormat="1" applyFont="1" applyBorder="1" applyAlignment="1">
      <alignment horizontal="left"/>
    </xf>
    <xf numFmtId="2" fontId="90" fillId="0" borderId="45" xfId="158" applyNumberFormat="1" applyFont="1" applyBorder="1" applyAlignment="1">
      <alignment horizontal="left"/>
    </xf>
    <xf numFmtId="2" fontId="90" fillId="0" borderId="46" xfId="158" applyNumberFormat="1" applyFont="1" applyBorder="1" applyAlignment="1">
      <alignment horizontal="left"/>
    </xf>
    <xf numFmtId="2" fontId="90" fillId="0" borderId="47" xfId="158" applyNumberFormat="1" applyFont="1" applyBorder="1" applyAlignment="1">
      <alignment horizontal="left"/>
    </xf>
    <xf numFmtId="2" fontId="90" fillId="60" borderId="4" xfId="158" applyNumberFormat="1" applyFont="1" applyFill="1" applyBorder="1" applyAlignment="1">
      <alignment horizontal="center" vertical="center"/>
    </xf>
    <xf numFmtId="2" fontId="90" fillId="60" borderId="5" xfId="158" applyNumberFormat="1" applyFont="1" applyFill="1" applyBorder="1" applyAlignment="1">
      <alignment horizontal="center" vertical="center"/>
    </xf>
    <xf numFmtId="2" fontId="90" fillId="60" borderId="6" xfId="158" applyNumberFormat="1" applyFont="1" applyFill="1" applyBorder="1" applyAlignment="1">
      <alignment horizontal="center" vertical="center"/>
    </xf>
    <xf numFmtId="2" fontId="90" fillId="60" borderId="0" xfId="158" applyNumberFormat="1" applyFont="1" applyFill="1" applyAlignment="1">
      <alignment horizontal="center" vertical="center"/>
    </xf>
    <xf numFmtId="2" fontId="90" fillId="60" borderId="45" xfId="158" applyNumberFormat="1" applyFont="1" applyFill="1" applyBorder="1" applyAlignment="1">
      <alignment horizontal="center" vertical="center"/>
    </xf>
    <xf numFmtId="2" fontId="90" fillId="60" borderId="46" xfId="158" applyNumberFormat="1" applyFont="1" applyFill="1" applyBorder="1" applyAlignment="1">
      <alignment horizontal="center" vertical="center"/>
    </xf>
    <xf numFmtId="49" fontId="83" fillId="0" borderId="49" xfId="158" applyNumberFormat="1" applyFont="1" applyBorder="1" applyAlignment="1">
      <alignment horizontal="center" vertical="center"/>
    </xf>
    <xf numFmtId="49" fontId="83" fillId="0" borderId="22" xfId="158" applyNumberFormat="1" applyFont="1" applyBorder="1" applyAlignment="1">
      <alignment horizontal="center" vertical="center"/>
    </xf>
    <xf numFmtId="49" fontId="83" fillId="0" borderId="49" xfId="158" applyNumberFormat="1" applyFont="1" applyBorder="1" applyAlignment="1">
      <alignment horizontal="center" vertical="center" wrapText="1"/>
    </xf>
    <xf numFmtId="49" fontId="83" fillId="0" borderId="22" xfId="158" applyNumberFormat="1" applyFont="1" applyBorder="1" applyAlignment="1">
      <alignment horizontal="center" vertical="center" wrapText="1"/>
    </xf>
    <xf numFmtId="0" fontId="92" fillId="0" borderId="4" xfId="158" applyFont="1" applyBorder="1" applyAlignment="1">
      <alignment horizontal="center" vertical="center"/>
    </xf>
    <xf numFmtId="0" fontId="92" fillId="0" borderId="5" xfId="158" applyFont="1" applyBorder="1" applyAlignment="1">
      <alignment horizontal="center" vertical="center"/>
    </xf>
    <xf numFmtId="0" fontId="92" fillId="0" borderId="13" xfId="158" applyFont="1" applyBorder="1" applyAlignment="1">
      <alignment horizontal="center" vertical="center"/>
    </xf>
    <xf numFmtId="0" fontId="92" fillId="0" borderId="20" xfId="158" applyFont="1" applyBorder="1" applyAlignment="1">
      <alignment horizontal="center" vertical="center"/>
    </xf>
    <xf numFmtId="0" fontId="92" fillId="0" borderId="21" xfId="158" applyFont="1" applyBorder="1" applyAlignment="1">
      <alignment horizontal="center" vertical="center"/>
    </xf>
    <xf numFmtId="0" fontId="92" fillId="0" borderId="42" xfId="158" applyFont="1" applyBorder="1" applyAlignment="1">
      <alignment horizontal="center" vertical="center"/>
    </xf>
    <xf numFmtId="0" fontId="83" fillId="0" borderId="6" xfId="0" applyFont="1" applyBorder="1" applyAlignment="1">
      <alignment horizontal="left"/>
    </xf>
    <xf numFmtId="0" fontId="83" fillId="0" borderId="0" xfId="0" applyFont="1" applyAlignment="1">
      <alignment horizontal="left"/>
    </xf>
    <xf numFmtId="49" fontId="90" fillId="0" borderId="3" xfId="158" applyNumberFormat="1" applyFont="1" applyBorder="1" applyAlignment="1">
      <alignment horizontal="center" vertical="center"/>
    </xf>
    <xf numFmtId="49" fontId="90" fillId="0" borderId="2" xfId="158" applyNumberFormat="1" applyFont="1" applyBorder="1" applyAlignment="1">
      <alignment horizontal="center" vertical="center"/>
    </xf>
    <xf numFmtId="49" fontId="83" fillId="0" borderId="4" xfId="158" applyNumberFormat="1" applyFont="1" applyBorder="1" applyAlignment="1">
      <alignment horizontal="left"/>
    </xf>
    <xf numFmtId="49" fontId="83" fillId="0" borderId="5" xfId="158" applyNumberFormat="1" applyFont="1" applyBorder="1" applyAlignment="1">
      <alignment horizontal="left"/>
    </xf>
    <xf numFmtId="49" fontId="83" fillId="0" borderId="13" xfId="158" applyNumberFormat="1" applyFont="1" applyBorder="1" applyAlignment="1">
      <alignment horizontal="left"/>
    </xf>
    <xf numFmtId="49" fontId="83" fillId="0" borderId="6" xfId="158" applyNumberFormat="1" applyFont="1" applyBorder="1" applyAlignment="1">
      <alignment horizontal="left"/>
    </xf>
    <xf numFmtId="49" fontId="83" fillId="0" borderId="0" xfId="158" applyNumberFormat="1" applyFont="1" applyAlignment="1">
      <alignment horizontal="left"/>
    </xf>
    <xf numFmtId="49" fontId="83" fillId="0" borderId="38" xfId="158" applyNumberFormat="1" applyFont="1" applyBorder="1" applyAlignment="1">
      <alignment horizontal="left"/>
    </xf>
    <xf numFmtId="0" fontId="83" fillId="0" borderId="45" xfId="0" applyFont="1" applyBorder="1" applyAlignment="1">
      <alignment horizontal="left"/>
    </xf>
    <xf numFmtId="0" fontId="83" fillId="0" borderId="46" xfId="0" applyFont="1" applyBorder="1" applyAlignment="1">
      <alignment horizontal="left"/>
    </xf>
    <xf numFmtId="0" fontId="96" fillId="0" borderId="6" xfId="0" applyFont="1" applyBorder="1" applyAlignment="1">
      <alignment horizontal="left"/>
    </xf>
    <xf numFmtId="0" fontId="96" fillId="0" borderId="0" xfId="0" applyFont="1" applyAlignment="1">
      <alignment horizontal="left"/>
    </xf>
    <xf numFmtId="0" fontId="12" fillId="0" borderId="6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8" fillId="0" borderId="55" xfId="158" applyFont="1" applyBorder="1" applyAlignment="1">
      <alignment horizontal="center" vertical="center"/>
    </xf>
    <xf numFmtId="0" fontId="8" fillId="0" borderId="56" xfId="158" applyFont="1" applyBorder="1" applyAlignment="1">
      <alignment horizontal="center" vertical="center"/>
    </xf>
    <xf numFmtId="0" fontId="8" fillId="0" borderId="58" xfId="158" applyFont="1" applyBorder="1" applyAlignment="1">
      <alignment horizontal="center" vertical="center"/>
    </xf>
    <xf numFmtId="0" fontId="9" fillId="0" borderId="5" xfId="158" applyFont="1" applyBorder="1" applyAlignment="1">
      <alignment horizontal="center" vertical="center"/>
    </xf>
    <xf numFmtId="0" fontId="9" fillId="0" borderId="46" xfId="158" applyFont="1" applyBorder="1" applyAlignment="1">
      <alignment horizontal="center" vertical="center"/>
    </xf>
    <xf numFmtId="0" fontId="90" fillId="0" borderId="4" xfId="158" applyFont="1" applyBorder="1" applyAlignment="1">
      <alignment horizontal="center" vertical="center"/>
    </xf>
    <xf numFmtId="0" fontId="90" fillId="0" borderId="5" xfId="158" applyFont="1" applyBorder="1" applyAlignment="1">
      <alignment horizontal="center" vertical="center"/>
    </xf>
    <xf numFmtId="0" fontId="90" fillId="0" borderId="6" xfId="158" applyFont="1" applyBorder="1" applyAlignment="1">
      <alignment horizontal="center" vertical="center"/>
    </xf>
    <xf numFmtId="0" fontId="90" fillId="0" borderId="0" xfId="158" applyFont="1" applyAlignment="1">
      <alignment horizontal="center" vertical="center"/>
    </xf>
    <xf numFmtId="2" fontId="92" fillId="0" borderId="4" xfId="158" applyNumberFormat="1" applyFont="1" applyBorder="1" applyAlignment="1">
      <alignment horizontal="left"/>
    </xf>
    <xf numFmtId="2" fontId="92" fillId="0" borderId="5" xfId="158" applyNumberFormat="1" applyFont="1" applyBorder="1" applyAlignment="1">
      <alignment horizontal="left"/>
    </xf>
    <xf numFmtId="0" fontId="7" fillId="0" borderId="6" xfId="158" applyFont="1" applyBorder="1" applyAlignment="1">
      <alignment horizontal="left" vertical="center"/>
    </xf>
    <xf numFmtId="0" fontId="7" fillId="0" borderId="0" xfId="158" applyFont="1" applyAlignment="1">
      <alignment horizontal="left" vertical="center"/>
    </xf>
    <xf numFmtId="0" fontId="91" fillId="0" borderId="14" xfId="0" applyFont="1" applyBorder="1" applyAlignment="1">
      <alignment horizontal="center" vertical="center"/>
    </xf>
    <xf numFmtId="0" fontId="91" fillId="0" borderId="82" xfId="0" applyFont="1" applyBorder="1" applyAlignment="1">
      <alignment horizontal="center" vertical="center"/>
    </xf>
    <xf numFmtId="0" fontId="91" fillId="0" borderId="92" xfId="0" applyFont="1" applyBorder="1" applyAlignment="1">
      <alignment horizontal="center" vertical="center"/>
    </xf>
    <xf numFmtId="0" fontId="95" fillId="0" borderId="9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10" fillId="0" borderId="81" xfId="0" applyFont="1" applyBorder="1" applyAlignment="1">
      <alignment horizontal="center" vertical="center"/>
    </xf>
    <xf numFmtId="0" fontId="10" fillId="0" borderId="82" xfId="0" applyFont="1" applyBorder="1" applyAlignment="1">
      <alignment horizontal="center" vertical="center"/>
    </xf>
    <xf numFmtId="0" fontId="83" fillId="0" borderId="45" xfId="0" applyFont="1" applyBorder="1" applyAlignment="1">
      <alignment horizontal="center" vertical="center" wrapText="1"/>
    </xf>
    <xf numFmtId="0" fontId="83" fillId="0" borderId="46" xfId="0" applyFont="1" applyBorder="1" applyAlignment="1">
      <alignment horizontal="center" vertical="center" wrapText="1"/>
    </xf>
    <xf numFmtId="2" fontId="13" fillId="0" borderId="93" xfId="0" applyNumberFormat="1" applyFont="1" applyBorder="1" applyAlignment="1">
      <alignment horizontal="center"/>
    </xf>
    <xf numFmtId="2" fontId="74" fillId="60" borderId="6" xfId="0" applyNumberFormat="1" applyFont="1" applyFill="1" applyBorder="1" applyAlignment="1">
      <alignment horizontal="center" vertical="center"/>
    </xf>
    <xf numFmtId="2" fontId="74" fillId="60" borderId="0" xfId="0" applyNumberFormat="1" applyFont="1" applyFill="1" applyAlignment="1">
      <alignment horizontal="center" vertical="center"/>
    </xf>
    <xf numFmtId="0" fontId="83" fillId="0" borderId="6" xfId="158" applyFont="1" applyBorder="1" applyAlignment="1">
      <alignment horizontal="left" vertical="center"/>
    </xf>
    <xf numFmtId="0" fontId="83" fillId="0" borderId="0" xfId="158" applyFont="1" applyAlignment="1">
      <alignment horizontal="left" vertical="center"/>
    </xf>
    <xf numFmtId="2" fontId="90" fillId="0" borderId="6" xfId="158" applyNumberFormat="1" applyFont="1" applyBorder="1" applyAlignment="1">
      <alignment horizontal="left"/>
    </xf>
    <xf numFmtId="2" fontId="90" fillId="0" borderId="0" xfId="158" applyNumberFormat="1" applyFont="1" applyAlignment="1">
      <alignment horizontal="left"/>
    </xf>
    <xf numFmtId="166" fontId="8" fillId="0" borderId="61" xfId="158" applyNumberFormat="1" applyFont="1" applyBorder="1" applyAlignment="1">
      <alignment horizontal="center" vertical="center"/>
    </xf>
    <xf numFmtId="166" fontId="8" fillId="0" borderId="56" xfId="158" applyNumberFormat="1" applyFont="1" applyBorder="1" applyAlignment="1">
      <alignment horizontal="center" vertical="center"/>
    </xf>
    <xf numFmtId="0" fontId="10" fillId="3" borderId="90" xfId="0" applyFont="1" applyFill="1" applyBorder="1" applyAlignment="1">
      <alignment horizontal="center"/>
    </xf>
    <xf numFmtId="0" fontId="10" fillId="3" borderId="92" xfId="0" applyFont="1" applyFill="1" applyBorder="1" applyAlignment="1">
      <alignment horizontal="center"/>
    </xf>
    <xf numFmtId="2" fontId="97" fillId="0" borderId="6" xfId="0" applyNumberFormat="1" applyFont="1" applyBorder="1" applyAlignment="1">
      <alignment horizontal="left"/>
    </xf>
    <xf numFmtId="2" fontId="97" fillId="0" borderId="0" xfId="0" applyNumberFormat="1" applyFont="1" applyAlignment="1">
      <alignment horizontal="left"/>
    </xf>
    <xf numFmtId="2" fontId="97" fillId="0" borderId="5" xfId="0" applyNumberFormat="1" applyFont="1" applyBorder="1" applyAlignment="1">
      <alignment horizontal="left"/>
    </xf>
    <xf numFmtId="2" fontId="83" fillId="0" borderId="6" xfId="0" applyNumberFormat="1" applyFont="1" applyBorder="1" applyAlignment="1">
      <alignment horizontal="left"/>
    </xf>
    <xf numFmtId="2" fontId="83" fillId="0" borderId="0" xfId="0" applyNumberFormat="1" applyFont="1" applyAlignment="1">
      <alignment horizontal="left"/>
    </xf>
    <xf numFmtId="2" fontId="11" fillId="0" borderId="6" xfId="0" applyNumberFormat="1" applyFont="1" applyBorder="1" applyAlignment="1">
      <alignment horizontal="left"/>
    </xf>
    <xf numFmtId="2" fontId="13" fillId="0" borderId="0" xfId="0" applyNumberFormat="1" applyFont="1" applyAlignment="1">
      <alignment horizontal="left"/>
    </xf>
    <xf numFmtId="0" fontId="81" fillId="0" borderId="4" xfId="0" applyFont="1" applyBorder="1" applyAlignment="1">
      <alignment horizontal="center" vertical="center" wrapText="1"/>
    </xf>
    <xf numFmtId="0" fontId="81" fillId="0" borderId="13" xfId="0" applyFont="1" applyBorder="1" applyAlignment="1">
      <alignment horizontal="center" vertical="center" wrapText="1"/>
    </xf>
    <xf numFmtId="49" fontId="83" fillId="0" borderId="48" xfId="158" applyNumberFormat="1" applyFont="1" applyBorder="1" applyAlignment="1">
      <alignment horizontal="center" vertical="center"/>
    </xf>
    <xf numFmtId="49" fontId="83" fillId="0" borderId="35" xfId="158" applyNumberFormat="1" applyFont="1" applyBorder="1" applyAlignment="1">
      <alignment horizontal="center" vertical="center"/>
    </xf>
    <xf numFmtId="49" fontId="90" fillId="0" borderId="101" xfId="158" applyNumberFormat="1" applyFont="1" applyBorder="1" applyAlignment="1">
      <alignment horizontal="center" vertical="center"/>
    </xf>
    <xf numFmtId="49" fontId="11" fillId="0" borderId="6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left"/>
    </xf>
    <xf numFmtId="0" fontId="74" fillId="0" borderId="36" xfId="0" applyFont="1" applyBorder="1" applyAlignment="1" applyProtection="1">
      <alignment horizontal="left" vertical="center"/>
      <protection locked="0"/>
    </xf>
    <xf numFmtId="0" fontId="74" fillId="0" borderId="37" xfId="0" applyFont="1" applyBorder="1" applyAlignment="1" applyProtection="1">
      <alignment horizontal="left" vertical="center"/>
      <protection locked="0"/>
    </xf>
    <xf numFmtId="0" fontId="74" fillId="0" borderId="44" xfId="0" applyFont="1" applyBorder="1" applyAlignment="1" applyProtection="1">
      <alignment horizontal="left" vertical="center"/>
      <protection locked="0"/>
    </xf>
    <xf numFmtId="0" fontId="80" fillId="0" borderId="4" xfId="0" applyFont="1" applyBorder="1" applyAlignment="1" applyProtection="1">
      <alignment horizontal="center" vertical="center"/>
      <protection locked="0"/>
    </xf>
    <xf numFmtId="0" fontId="80" fillId="0" borderId="5" xfId="0" applyFont="1" applyBorder="1" applyAlignment="1" applyProtection="1">
      <alignment horizontal="center" vertical="center"/>
      <protection locked="0"/>
    </xf>
    <xf numFmtId="0" fontId="80" fillId="0" borderId="13" xfId="0" applyFont="1" applyBorder="1" applyAlignment="1" applyProtection="1">
      <alignment horizontal="center" vertical="center"/>
      <protection locked="0"/>
    </xf>
    <xf numFmtId="0" fontId="80" fillId="0" borderId="6" xfId="0" applyFont="1" applyBorder="1" applyAlignment="1" applyProtection="1">
      <alignment horizontal="center" vertical="center"/>
      <protection locked="0"/>
    </xf>
    <xf numFmtId="0" fontId="80" fillId="0" borderId="0" xfId="0" applyFont="1" applyAlignment="1" applyProtection="1">
      <alignment horizontal="center" vertical="center"/>
      <protection locked="0"/>
    </xf>
    <xf numFmtId="0" fontId="80" fillId="0" borderId="38" xfId="0" applyFont="1" applyBorder="1" applyAlignment="1" applyProtection="1">
      <alignment horizontal="center" vertical="center"/>
      <protection locked="0"/>
    </xf>
    <xf numFmtId="0" fontId="80" fillId="0" borderId="45" xfId="0" applyFont="1" applyBorder="1" applyAlignment="1" applyProtection="1">
      <alignment horizontal="center" vertical="center"/>
      <protection locked="0"/>
    </xf>
    <xf numFmtId="0" fontId="80" fillId="0" borderId="46" xfId="0" applyFont="1" applyBorder="1" applyAlignment="1" applyProtection="1">
      <alignment horizontal="center" vertical="center"/>
      <protection locked="0"/>
    </xf>
    <xf numFmtId="0" fontId="80" fillId="0" borderId="47" xfId="0" applyFont="1" applyBorder="1" applyAlignment="1" applyProtection="1">
      <alignment horizontal="center" vertical="center"/>
      <protection locked="0"/>
    </xf>
    <xf numFmtId="0" fontId="81" fillId="0" borderId="12" xfId="0" applyFont="1" applyBorder="1" applyAlignment="1">
      <alignment horizontal="center" vertical="center"/>
    </xf>
    <xf numFmtId="0" fontId="74" fillId="0" borderId="9" xfId="0" applyFont="1" applyBorder="1" applyAlignment="1" applyProtection="1">
      <alignment horizontal="center" vertical="center"/>
      <protection hidden="1"/>
    </xf>
    <xf numFmtId="0" fontId="74" fillId="0" borderId="84" xfId="0" applyFont="1" applyBorder="1" applyAlignment="1" applyProtection="1">
      <alignment horizontal="center" vertical="center"/>
      <protection hidden="1"/>
    </xf>
    <xf numFmtId="0" fontId="81" fillId="0" borderId="90" xfId="0" applyFont="1" applyBorder="1" applyAlignment="1" applyProtection="1">
      <alignment horizontal="center" vertical="center"/>
      <protection locked="0"/>
    </xf>
    <xf numFmtId="0" fontId="81" fillId="0" borderId="92" xfId="0" applyFont="1" applyBorder="1" applyAlignment="1" applyProtection="1">
      <alignment horizontal="center" vertical="center"/>
      <protection locked="0"/>
    </xf>
    <xf numFmtId="0" fontId="104" fillId="0" borderId="84" xfId="0" applyFont="1" applyBorder="1" applyAlignment="1" applyProtection="1">
      <alignment horizontal="center" vertical="center"/>
      <protection locked="0"/>
    </xf>
    <xf numFmtId="0" fontId="74" fillId="0" borderId="14" xfId="0" applyFont="1" applyBorder="1" applyAlignment="1" applyProtection="1">
      <alignment horizontal="center" vertical="center"/>
      <protection locked="0"/>
    </xf>
    <xf numFmtId="0" fontId="16" fillId="0" borderId="27" xfId="282" applyFont="1" applyBorder="1" applyAlignment="1">
      <alignment horizontal="left" vertical="center" wrapText="1"/>
    </xf>
    <xf numFmtId="0" fontId="16" fillId="0" borderId="41" xfId="282" applyFont="1" applyBorder="1" applyAlignment="1">
      <alignment horizontal="left" vertical="center" wrapText="1"/>
    </xf>
    <xf numFmtId="0" fontId="71" fillId="4" borderId="3" xfId="0" applyFont="1" applyFill="1" applyBorder="1" applyAlignment="1">
      <alignment horizontal="center" vertical="center" wrapText="1"/>
    </xf>
    <xf numFmtId="0" fontId="71" fillId="4" borderId="27" xfId="0" applyFont="1" applyFill="1" applyBorder="1" applyAlignment="1">
      <alignment horizontal="center" vertical="center" wrapText="1"/>
    </xf>
    <xf numFmtId="0" fontId="71" fillId="4" borderId="80" xfId="0" applyFont="1" applyFill="1" applyBorder="1" applyAlignment="1">
      <alignment horizontal="center" vertical="center" wrapText="1"/>
    </xf>
    <xf numFmtId="0" fontId="15" fillId="0" borderId="50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5" fillId="0" borderId="41" xfId="0" applyFont="1" applyBorder="1" applyAlignment="1">
      <alignment horizontal="left" vertical="center" wrapText="1"/>
    </xf>
    <xf numFmtId="0" fontId="71" fillId="0" borderId="81" xfId="0" applyFont="1" applyBorder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15" fillId="0" borderId="38" xfId="0" applyFont="1" applyBorder="1" applyAlignment="1">
      <alignment horizontal="left" vertical="center" wrapText="1"/>
    </xf>
    <xf numFmtId="0" fontId="63" fillId="0" borderId="50" xfId="0" applyFont="1" applyBorder="1" applyAlignment="1">
      <alignment horizontal="left" vertical="top" wrapText="1"/>
    </xf>
    <xf numFmtId="0" fontId="63" fillId="0" borderId="27" xfId="0" applyFont="1" applyBorder="1" applyAlignment="1">
      <alignment horizontal="left" vertical="top" wrapText="1"/>
    </xf>
    <xf numFmtId="0" fontId="63" fillId="0" borderId="80" xfId="0" applyFont="1" applyBorder="1" applyAlignment="1">
      <alignment horizontal="left" vertical="top" wrapText="1"/>
    </xf>
    <xf numFmtId="0" fontId="86" fillId="0" borderId="1" xfId="282" applyFont="1" applyBorder="1" applyAlignment="1">
      <alignment horizontal="left" vertical="center" wrapText="1"/>
    </xf>
    <xf numFmtId="0" fontId="86" fillId="0" borderId="49" xfId="282" applyFont="1" applyBorder="1" applyAlignment="1">
      <alignment horizontal="left" vertical="center" wrapText="1"/>
    </xf>
    <xf numFmtId="0" fontId="86" fillId="0" borderId="98" xfId="282" applyFont="1" applyBorder="1" applyAlignment="1">
      <alignment horizontal="left" vertical="center" wrapText="1"/>
    </xf>
    <xf numFmtId="0" fontId="18" fillId="4" borderId="12" xfId="0" applyFont="1" applyFill="1" applyBorder="1" applyAlignment="1">
      <alignment horizontal="center" vertical="center" wrapText="1"/>
    </xf>
    <xf numFmtId="0" fontId="86" fillId="0" borderId="25" xfId="282" applyFont="1" applyBorder="1" applyAlignment="1">
      <alignment horizontal="left" vertical="center" wrapText="1"/>
    </xf>
    <xf numFmtId="0" fontId="86" fillId="0" borderId="40" xfId="282" applyFont="1" applyBorder="1" applyAlignment="1">
      <alignment horizontal="left" vertical="center" wrapText="1"/>
    </xf>
    <xf numFmtId="0" fontId="18" fillId="4" borderId="80" xfId="0" applyFont="1" applyFill="1" applyBorder="1" applyAlignment="1">
      <alignment horizontal="center" vertical="center" wrapText="1"/>
    </xf>
    <xf numFmtId="0" fontId="18" fillId="4" borderId="82" xfId="0" applyFont="1" applyFill="1" applyBorder="1" applyAlignment="1">
      <alignment horizontal="center" vertic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80" xfId="0" applyFont="1" applyBorder="1" applyAlignment="1">
      <alignment horizontal="center" vertical="top" wrapText="1"/>
    </xf>
    <xf numFmtId="0" fontId="98" fillId="0" borderId="8" xfId="282" applyFont="1" applyBorder="1" applyAlignment="1">
      <alignment horizontal="left" vertical="center" wrapText="1"/>
    </xf>
    <xf numFmtId="0" fontId="99" fillId="0" borderId="8" xfId="282" applyFont="1" applyBorder="1" applyAlignment="1">
      <alignment horizontal="left" vertical="center" wrapText="1"/>
    </xf>
    <xf numFmtId="0" fontId="63" fillId="0" borderId="23" xfId="0" applyFont="1" applyBorder="1" applyAlignment="1">
      <alignment horizontal="left" vertical="top" wrapText="1"/>
    </xf>
    <xf numFmtId="0" fontId="63" fillId="0" borderId="0" xfId="0" applyFont="1" applyAlignment="1">
      <alignment horizontal="left" vertical="top" wrapText="1"/>
    </xf>
    <xf numFmtId="0" fontId="63" fillId="0" borderId="21" xfId="0" applyFont="1" applyBorder="1" applyAlignment="1">
      <alignment horizontal="left" vertical="top" wrapText="1"/>
    </xf>
    <xf numFmtId="0" fontId="63" fillId="0" borderId="24" xfId="0" applyFont="1" applyBorder="1" applyAlignment="1">
      <alignment horizontal="left" vertical="top" wrapText="1"/>
    </xf>
    <xf numFmtId="0" fontId="16" fillId="0" borderId="4" xfId="282" applyFont="1" applyBorder="1" applyAlignment="1">
      <alignment horizontal="center" vertical="center" wrapText="1"/>
    </xf>
    <xf numFmtId="0" fontId="16" fillId="0" borderId="13" xfId="282" applyFont="1" applyBorder="1" applyAlignment="1">
      <alignment horizontal="center" vertical="center" wrapText="1"/>
    </xf>
    <xf numFmtId="0" fontId="16" fillId="0" borderId="6" xfId="282" applyFont="1" applyBorder="1" applyAlignment="1">
      <alignment horizontal="center" vertical="center" wrapText="1"/>
    </xf>
    <xf numFmtId="0" fontId="16" fillId="0" borderId="38" xfId="282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02" fillId="0" borderId="26" xfId="282" applyFont="1" applyBorder="1" applyAlignment="1">
      <alignment horizontal="center" vertical="center" wrapText="1"/>
    </xf>
    <xf numFmtId="0" fontId="102" fillId="0" borderId="0" xfId="282" applyFont="1" applyAlignment="1">
      <alignment horizontal="center" vertical="center" wrapText="1"/>
    </xf>
    <xf numFmtId="0" fontId="102" fillId="0" borderId="38" xfId="282" applyFont="1" applyBorder="1" applyAlignment="1">
      <alignment horizontal="center" vertical="center" wrapText="1"/>
    </xf>
    <xf numFmtId="0" fontId="102" fillId="0" borderId="45" xfId="282" applyFont="1" applyBorder="1" applyAlignment="1">
      <alignment horizontal="center" vertical="center" wrapText="1"/>
    </xf>
    <xf numFmtId="0" fontId="102" fillId="0" borderId="46" xfId="282" applyFont="1" applyBorder="1" applyAlignment="1">
      <alignment horizontal="center" vertical="center" wrapText="1"/>
    </xf>
    <xf numFmtId="0" fontId="102" fillId="0" borderId="47" xfId="282" applyFont="1" applyBorder="1" applyAlignment="1">
      <alignment horizontal="center" vertical="center" wrapText="1"/>
    </xf>
    <xf numFmtId="0" fontId="91" fillId="61" borderId="88" xfId="0" applyFont="1" applyFill="1" applyBorder="1" applyAlignment="1">
      <alignment horizontal="center"/>
    </xf>
    <xf numFmtId="0" fontId="91" fillId="61" borderId="89" xfId="0" applyFont="1" applyFill="1" applyBorder="1" applyAlignment="1">
      <alignment horizontal="center"/>
    </xf>
    <xf numFmtId="0" fontId="18" fillId="4" borderId="24" xfId="0" applyFont="1" applyFill="1" applyBorder="1" applyAlignment="1">
      <alignment horizontal="center" vertical="center" wrapText="1"/>
    </xf>
    <xf numFmtId="0" fontId="16" fillId="0" borderId="84" xfId="282" applyFont="1" applyBorder="1" applyAlignment="1">
      <alignment horizontal="center" vertical="center" wrapText="1"/>
    </xf>
    <xf numFmtId="0" fontId="16" fillId="0" borderId="5" xfId="282" applyFont="1" applyBorder="1" applyAlignment="1">
      <alignment horizontal="center" vertical="center" wrapText="1"/>
    </xf>
    <xf numFmtId="0" fontId="16" fillId="0" borderId="81" xfId="282" applyFont="1" applyBorder="1" applyAlignment="1">
      <alignment horizontal="center" vertical="center" wrapText="1"/>
    </xf>
    <xf numFmtId="0" fontId="16" fillId="0" borderId="0" xfId="282" applyFont="1" applyAlignment="1">
      <alignment horizontal="center" vertical="center" wrapText="1"/>
    </xf>
    <xf numFmtId="0" fontId="16" fillId="0" borderId="32" xfId="282" applyFont="1" applyBorder="1" applyAlignment="1">
      <alignment horizontal="center" vertical="center" wrapText="1"/>
    </xf>
    <xf numFmtId="0" fontId="16" fillId="0" borderId="103" xfId="282" applyFont="1" applyBorder="1" applyAlignment="1">
      <alignment horizontal="center" vertical="center" wrapText="1"/>
    </xf>
    <xf numFmtId="0" fontId="16" fillId="0" borderId="31" xfId="282" applyFont="1" applyBorder="1" applyAlignment="1">
      <alignment horizontal="left" vertical="center" wrapText="1"/>
    </xf>
    <xf numFmtId="0" fontId="16" fillId="0" borderId="102" xfId="282" applyFont="1" applyBorder="1" applyAlignment="1">
      <alignment horizontal="left" vertical="center" wrapText="1"/>
    </xf>
    <xf numFmtId="0" fontId="16" fillId="0" borderId="7" xfId="282" applyFont="1" applyBorder="1" applyAlignment="1">
      <alignment horizontal="left" vertical="center" wrapText="1"/>
    </xf>
    <xf numFmtId="0" fontId="16" fillId="0" borderId="15" xfId="282" applyFont="1" applyBorder="1" applyAlignment="1">
      <alignment horizontal="left" vertical="center" wrapText="1"/>
    </xf>
    <xf numFmtId="0" fontId="16" fillId="0" borderId="96" xfId="282" applyFont="1" applyBorder="1" applyAlignment="1">
      <alignment horizontal="left" vertical="center" wrapText="1"/>
    </xf>
    <xf numFmtId="0" fontId="16" fillId="0" borderId="95" xfId="282" applyFont="1" applyBorder="1" applyAlignment="1">
      <alignment horizontal="left" vertical="center" wrapText="1"/>
    </xf>
    <xf numFmtId="0" fontId="86" fillId="0" borderId="46" xfId="282" applyFont="1" applyBorder="1" applyAlignment="1">
      <alignment horizontal="left" vertical="center" wrapText="1"/>
    </xf>
    <xf numFmtId="0" fontId="86" fillId="0" borderId="47" xfId="282" applyFont="1" applyBorder="1" applyAlignment="1">
      <alignment horizontal="left" vertical="center" wrapText="1"/>
    </xf>
    <xf numFmtId="0" fontId="74" fillId="0" borderId="91" xfId="0" applyFont="1" applyBorder="1" applyAlignment="1" applyProtection="1">
      <alignment horizontal="center" vertical="center"/>
      <protection locked="0"/>
    </xf>
    <xf numFmtId="0" fontId="74" fillId="0" borderId="85" xfId="0" applyFont="1" applyBorder="1" applyAlignment="1" applyProtection="1">
      <alignment horizontal="center" vertical="center"/>
      <protection locked="0"/>
    </xf>
    <xf numFmtId="0" fontId="74" fillId="0" borderId="94" xfId="0" applyFont="1" applyBorder="1" applyAlignment="1" applyProtection="1">
      <alignment horizontal="center" vertical="center"/>
      <protection locked="0"/>
    </xf>
    <xf numFmtId="0" fontId="16" fillId="4" borderId="48" xfId="282" applyFont="1" applyFill="1" applyBorder="1" applyAlignment="1">
      <alignment horizontal="center" vertical="center" wrapText="1"/>
    </xf>
    <xf numFmtId="0" fontId="16" fillId="4" borderId="11" xfId="282" applyFont="1" applyFill="1" applyBorder="1" applyAlignment="1">
      <alignment horizontal="center" vertical="center" wrapText="1"/>
    </xf>
    <xf numFmtId="0" fontId="103" fillId="4" borderId="27" xfId="0" applyFont="1" applyFill="1" applyBorder="1" applyAlignment="1">
      <alignment horizontal="center" vertical="center" wrapText="1"/>
    </xf>
    <xf numFmtId="0" fontId="71" fillId="4" borderId="46" xfId="0" applyFont="1" applyFill="1" applyBorder="1" applyAlignment="1">
      <alignment horizontal="center" vertical="center" wrapText="1"/>
    </xf>
    <xf numFmtId="0" fontId="62" fillId="0" borderId="83" xfId="328" applyFont="1" applyBorder="1" applyAlignment="1">
      <alignment horizontal="center" vertical="center"/>
    </xf>
    <xf numFmtId="0" fontId="62" fillId="0" borderId="85" xfId="328" applyFont="1" applyBorder="1" applyAlignment="1">
      <alignment horizontal="center" vertical="center"/>
    </xf>
    <xf numFmtId="0" fontId="16" fillId="0" borderId="22" xfId="282" applyFont="1" applyBorder="1" applyAlignment="1">
      <alignment horizontal="center" vertical="center" wrapText="1"/>
    </xf>
    <xf numFmtId="0" fontId="16" fillId="0" borderId="98" xfId="282" applyFont="1" applyBorder="1" applyAlignment="1">
      <alignment horizontal="center" vertical="center" wrapText="1"/>
    </xf>
    <xf numFmtId="0" fontId="63" fillId="0" borderId="1" xfId="0" applyFont="1" applyBorder="1" applyAlignment="1" applyProtection="1">
      <alignment horizontal="left" vertical="center"/>
      <protection locked="0"/>
    </xf>
    <xf numFmtId="0" fontId="63" fillId="0" borderId="25" xfId="0" applyFont="1" applyBorder="1" applyAlignment="1" applyProtection="1">
      <alignment horizontal="left" vertical="center"/>
      <protection locked="0"/>
    </xf>
    <xf numFmtId="0" fontId="63" fillId="0" borderId="2" xfId="0" applyFont="1" applyBorder="1" applyAlignment="1" applyProtection="1">
      <alignment horizontal="left" vertical="center"/>
      <protection locked="0"/>
    </xf>
    <xf numFmtId="0" fontId="63" fillId="0" borderId="3" xfId="0" applyFont="1" applyBorder="1" applyAlignment="1" applyProtection="1">
      <alignment horizontal="center" vertical="center"/>
      <protection locked="0"/>
    </xf>
    <xf numFmtId="0" fontId="63" fillId="0" borderId="25" xfId="0" applyFont="1" applyBorder="1" applyAlignment="1" applyProtection="1">
      <alignment horizontal="center" vertical="center"/>
      <protection locked="0"/>
    </xf>
    <xf numFmtId="0" fontId="63" fillId="0" borderId="1" xfId="0" applyFont="1" applyBorder="1" applyAlignment="1">
      <alignment horizontal="center"/>
    </xf>
    <xf numFmtId="0" fontId="62" fillId="0" borderId="42" xfId="328" applyFont="1" applyBorder="1" applyAlignment="1">
      <alignment horizontal="center" vertical="center" wrapText="1"/>
    </xf>
    <xf numFmtId="0" fontId="62" fillId="0" borderId="40" xfId="328" applyFont="1" applyBorder="1" applyAlignment="1">
      <alignment horizontal="center" vertical="center" wrapText="1"/>
    </xf>
    <xf numFmtId="0" fontId="62" fillId="0" borderId="97" xfId="328" applyFont="1" applyBorder="1" applyAlignment="1">
      <alignment horizontal="center" vertical="center" wrapText="1"/>
    </xf>
    <xf numFmtId="0" fontId="74" fillId="0" borderId="93" xfId="0" applyFont="1" applyBorder="1" applyAlignment="1" applyProtection="1">
      <alignment horizontal="center" vertical="center"/>
      <protection locked="0"/>
    </xf>
    <xf numFmtId="0" fontId="74" fillId="0" borderId="93" xfId="0" applyFont="1" applyBorder="1" applyAlignment="1" applyProtection="1">
      <alignment horizontal="center" vertical="center"/>
      <protection hidden="1"/>
    </xf>
    <xf numFmtId="0" fontId="82" fillId="0" borderId="88" xfId="0" applyFont="1" applyBorder="1" applyAlignment="1" applyProtection="1">
      <alignment horizontal="center" vertical="center"/>
      <protection locked="0"/>
    </xf>
    <xf numFmtId="0" fontId="82" fillId="0" borderId="86" xfId="0" applyFont="1" applyBorder="1" applyAlignment="1" applyProtection="1">
      <alignment horizontal="center" vertical="center"/>
      <protection locked="0"/>
    </xf>
    <xf numFmtId="0" fontId="82" fillId="0" borderId="89" xfId="0" applyFont="1" applyBorder="1" applyAlignment="1" applyProtection="1">
      <alignment horizontal="center" vertical="center"/>
      <protection locked="0"/>
    </xf>
    <xf numFmtId="0" fontId="84" fillId="0" borderId="94" xfId="0" applyFont="1" applyBorder="1" applyAlignment="1" applyProtection="1">
      <alignment horizontal="center" vertical="center"/>
      <protection locked="0"/>
    </xf>
    <xf numFmtId="0" fontId="84" fillId="0" borderId="86" xfId="0" applyFont="1" applyBorder="1" applyAlignment="1" applyProtection="1">
      <alignment horizontal="center" vertical="center"/>
      <protection locked="0"/>
    </xf>
    <xf numFmtId="0" fontId="84" fillId="0" borderId="89" xfId="0" applyFont="1" applyBorder="1" applyAlignment="1" applyProtection="1">
      <alignment horizontal="center" vertical="center"/>
      <protection locked="0"/>
    </xf>
    <xf numFmtId="0" fontId="74" fillId="0" borderId="81" xfId="0" applyFont="1" applyBorder="1" applyAlignment="1" applyProtection="1">
      <alignment horizontal="center" vertical="center"/>
      <protection locked="0"/>
    </xf>
    <xf numFmtId="0" fontId="74" fillId="0" borderId="82" xfId="0" applyFont="1" applyBorder="1" applyAlignment="1" applyProtection="1">
      <alignment horizontal="center" vertical="center"/>
      <protection locked="0"/>
    </xf>
    <xf numFmtId="0" fontId="74" fillId="0" borderId="0" xfId="0" applyFont="1" applyAlignment="1" applyProtection="1">
      <alignment horizontal="center" vertical="center"/>
      <protection locked="0"/>
    </xf>
    <xf numFmtId="0" fontId="74" fillId="0" borderId="38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</cellXfs>
  <cellStyles count="329">
    <cellStyle name="20% - Accent2" xfId="35" xr:uid="{00000000-0005-0000-0000-000000000000}"/>
    <cellStyle name="20% - Accent4" xfId="38" xr:uid="{00000000-0005-0000-0000-000001000000}"/>
    <cellStyle name="20% - 强调文字颜色 1 2" xfId="1" xr:uid="{00000000-0005-0000-0000-000002000000}"/>
    <cellStyle name="20% - 强调文字颜色 1 3" xfId="36" xr:uid="{00000000-0005-0000-0000-000003000000}"/>
    <cellStyle name="20% - 强调文字颜色 2 2" xfId="43" xr:uid="{00000000-0005-0000-0000-000004000000}"/>
    <cellStyle name="20% - 强调文字颜色 2 3" xfId="26" xr:uid="{00000000-0005-0000-0000-000005000000}"/>
    <cellStyle name="20% - 强调文字颜色 3 2" xfId="45" xr:uid="{00000000-0005-0000-0000-000006000000}"/>
    <cellStyle name="20% - 强调文字颜色 3 3" xfId="27" xr:uid="{00000000-0005-0000-0000-000007000000}"/>
    <cellStyle name="20% - 强调文字颜色 4 2" xfId="47" xr:uid="{00000000-0005-0000-0000-000008000000}"/>
    <cellStyle name="20% - 强调文字颜色 4 3" xfId="49" xr:uid="{00000000-0005-0000-0000-000009000000}"/>
    <cellStyle name="20% - 强调文字颜色 5 2" xfId="50" xr:uid="{00000000-0005-0000-0000-00000A000000}"/>
    <cellStyle name="20% - 强调文字颜色 5 3" xfId="20" xr:uid="{00000000-0005-0000-0000-00000B000000}"/>
    <cellStyle name="20% - 强调文字颜色 6 2" xfId="51" xr:uid="{00000000-0005-0000-0000-00000C000000}"/>
    <cellStyle name="20% - 强调文字颜色 6 3" xfId="52" xr:uid="{00000000-0005-0000-0000-00000D000000}"/>
    <cellStyle name="40% - 强调文字颜色 1 2" xfId="65" xr:uid="{00000000-0005-0000-0000-00000E000000}"/>
    <cellStyle name="40% - 强调文字颜色 1 3" xfId="68" xr:uid="{00000000-0005-0000-0000-00000F000000}"/>
    <cellStyle name="40% - 强调文字颜色 2 2" xfId="69" xr:uid="{00000000-0005-0000-0000-000010000000}"/>
    <cellStyle name="40% - 强调文字颜色 2 3" xfId="70" xr:uid="{00000000-0005-0000-0000-000011000000}"/>
    <cellStyle name="40% - 强调文字颜色 3 2" xfId="71" xr:uid="{00000000-0005-0000-0000-000012000000}"/>
    <cellStyle name="40% - 强调文字颜色 3 3" xfId="72" xr:uid="{00000000-0005-0000-0000-000013000000}"/>
    <cellStyle name="40% - 强调文字颜色 4 2" xfId="21" xr:uid="{00000000-0005-0000-0000-000014000000}"/>
    <cellStyle name="40% - 强调文字颜色 4 3" xfId="73" xr:uid="{00000000-0005-0000-0000-000015000000}"/>
    <cellStyle name="40% - 强调文字颜色 5 2" xfId="74" xr:uid="{00000000-0005-0000-0000-000016000000}"/>
    <cellStyle name="40% - 强调文字颜色 5 3" xfId="75" xr:uid="{00000000-0005-0000-0000-000017000000}"/>
    <cellStyle name="40% - 强调文字颜色 6 2" xfId="76" xr:uid="{00000000-0005-0000-0000-000018000000}"/>
    <cellStyle name="40% - 强调文字颜色 6 3" xfId="77" xr:uid="{00000000-0005-0000-0000-000019000000}"/>
    <cellStyle name="60% - 强调文字颜色 1 2" xfId="86" xr:uid="{00000000-0005-0000-0000-00001A000000}"/>
    <cellStyle name="60% - 强调文字颜色 1 3" xfId="87" xr:uid="{00000000-0005-0000-0000-00001B000000}"/>
    <cellStyle name="60% - 强调文字颜色 2 2" xfId="89" xr:uid="{00000000-0005-0000-0000-00001C000000}"/>
    <cellStyle name="60% - 强调文字颜色 2 3" xfId="12" xr:uid="{00000000-0005-0000-0000-00001D000000}"/>
    <cellStyle name="60% - 强调文字颜色 3 2" xfId="90" xr:uid="{00000000-0005-0000-0000-00001E000000}"/>
    <cellStyle name="60% - 强调文字颜色 3 3" xfId="91" xr:uid="{00000000-0005-0000-0000-00001F000000}"/>
    <cellStyle name="60% - 强调文字颜色 4 2" xfId="92" xr:uid="{00000000-0005-0000-0000-000020000000}"/>
    <cellStyle name="60% - 强调文字颜色 4 3" xfId="93" xr:uid="{00000000-0005-0000-0000-000021000000}"/>
    <cellStyle name="60% - 强调文字颜色 5 2" xfId="94" xr:uid="{00000000-0005-0000-0000-000022000000}"/>
    <cellStyle name="60% - 强调文字颜色 5 3" xfId="95" xr:uid="{00000000-0005-0000-0000-000023000000}"/>
    <cellStyle name="60% - 强调文字颜色 6 2" xfId="96" xr:uid="{00000000-0005-0000-0000-000024000000}"/>
    <cellStyle name="60% - 强调文字颜色 6 3" xfId="97" xr:uid="{00000000-0005-0000-0000-000025000000}"/>
    <cellStyle name="Excel Built-in Normal" xfId="103" xr:uid="{00000000-0005-0000-0000-000026000000}"/>
    <cellStyle name="Excel Built-in Normal 2" xfId="104" xr:uid="{00000000-0005-0000-0000-000027000000}"/>
    <cellStyle name="Excel Built-in Normal 3" xfId="105" xr:uid="{00000000-0005-0000-0000-000028000000}"/>
    <cellStyle name="Excel Built-in Normal 4" xfId="106" xr:uid="{00000000-0005-0000-0000-000029000000}"/>
    <cellStyle name="Excel Built-in Normal 5" xfId="107" xr:uid="{00000000-0005-0000-0000-00002A000000}"/>
    <cellStyle name="Excel Built-in Normal 8" xfId="108" xr:uid="{00000000-0005-0000-0000-00002B000000}"/>
    <cellStyle name="Excel Built-in Normal 9" xfId="109" xr:uid="{00000000-0005-0000-0000-00002C000000}"/>
    <cellStyle name="Normal" xfId="0" builtinId="0"/>
    <cellStyle name="Normál" xfId="114" xr:uid="{00000000-0005-0000-0000-00002E000000}"/>
    <cellStyle name="Normal 2" xfId="115" xr:uid="{00000000-0005-0000-0000-00002F000000}"/>
    <cellStyle name="Normal 2 2" xfId="116" xr:uid="{00000000-0005-0000-0000-000030000000}"/>
    <cellStyle name="Normal 3" xfId="328" xr:uid="{4A5F80C0-DE68-45E2-A091-2F90E36382D3}"/>
    <cellStyle name="Normale 2" xfId="119" xr:uid="{00000000-0005-0000-0000-000031000000}"/>
    <cellStyle name="normální_Sheet1" xfId="120" xr:uid="{00000000-0005-0000-0000-000032000000}"/>
    <cellStyle name="TableStyleLight1" xfId="122" xr:uid="{00000000-0005-0000-0000-000033000000}"/>
    <cellStyle name="TableStyleLight1 2" xfId="124" xr:uid="{00000000-0005-0000-0000-000034000000}"/>
    <cellStyle name="一般" xfId="31" xr:uid="{00000000-0005-0000-0000-000035000000}"/>
    <cellStyle name="一般 10" xfId="224" xr:uid="{00000000-0005-0000-0000-000036000000}"/>
    <cellStyle name="一般 11" xfId="172" xr:uid="{00000000-0005-0000-0000-000037000000}"/>
    <cellStyle name="一般 12" xfId="186" xr:uid="{00000000-0005-0000-0000-000038000000}"/>
    <cellStyle name="一般 13" xfId="4" xr:uid="{00000000-0005-0000-0000-000039000000}"/>
    <cellStyle name="一般 14" xfId="190" xr:uid="{00000000-0005-0000-0000-00003A000000}"/>
    <cellStyle name="一般 15" xfId="126" xr:uid="{00000000-0005-0000-0000-00003B000000}"/>
    <cellStyle name="一般 16" xfId="131" xr:uid="{00000000-0005-0000-0000-00003C000000}"/>
    <cellStyle name="一般 2" xfId="63" xr:uid="{00000000-0005-0000-0000-00003D000000}"/>
    <cellStyle name="一般 2 10" xfId="298" xr:uid="{00000000-0005-0000-0000-00003E000000}"/>
    <cellStyle name="一般 2 10 4" xfId="24" xr:uid="{00000000-0005-0000-0000-00003F000000}"/>
    <cellStyle name="一般 2 11" xfId="299" xr:uid="{00000000-0005-0000-0000-000040000000}"/>
    <cellStyle name="一般 2 12" xfId="212" xr:uid="{00000000-0005-0000-0000-000041000000}"/>
    <cellStyle name="一般 2 13" xfId="10" xr:uid="{00000000-0005-0000-0000-000042000000}"/>
    <cellStyle name="一般 2 14" xfId="254" xr:uid="{00000000-0005-0000-0000-000043000000}"/>
    <cellStyle name="一般 2 15" xfId="301" xr:uid="{00000000-0005-0000-0000-000044000000}"/>
    <cellStyle name="一般 2 16" xfId="303" xr:uid="{00000000-0005-0000-0000-000045000000}"/>
    <cellStyle name="一般 2 19" xfId="305" xr:uid="{00000000-0005-0000-0000-000046000000}"/>
    <cellStyle name="一般 2 2" xfId="306" xr:uid="{00000000-0005-0000-0000-000047000000}"/>
    <cellStyle name="一般 2 2 2" xfId="307" xr:uid="{00000000-0005-0000-0000-000048000000}"/>
    <cellStyle name="一般 2 2 2 12" xfId="308" xr:uid="{00000000-0005-0000-0000-000049000000}"/>
    <cellStyle name="一般 2 2 2 13" xfId="309" xr:uid="{00000000-0005-0000-0000-00004A000000}"/>
    <cellStyle name="一般 2 2 2 14" xfId="310" xr:uid="{00000000-0005-0000-0000-00004B000000}"/>
    <cellStyle name="一般 2 2 2 15" xfId="311" xr:uid="{00000000-0005-0000-0000-00004C000000}"/>
    <cellStyle name="一般 2 2 2 2" xfId="286" xr:uid="{00000000-0005-0000-0000-00004D000000}"/>
    <cellStyle name="一般 2 2 2 21" xfId="312" xr:uid="{00000000-0005-0000-0000-00004E000000}"/>
    <cellStyle name="一般 2 2 2 3" xfId="313" xr:uid="{00000000-0005-0000-0000-00004F000000}"/>
    <cellStyle name="一般 2 2 2 5" xfId="314" xr:uid="{00000000-0005-0000-0000-000050000000}"/>
    <cellStyle name="一般 2 2 2 6" xfId="315" xr:uid="{00000000-0005-0000-0000-000051000000}"/>
    <cellStyle name="一般 2 2 3" xfId="316" xr:uid="{00000000-0005-0000-0000-000052000000}"/>
    <cellStyle name="一般 2 20" xfId="300" xr:uid="{00000000-0005-0000-0000-000053000000}"/>
    <cellStyle name="一般 2 21" xfId="302" xr:uid="{00000000-0005-0000-0000-000054000000}"/>
    <cellStyle name="一般 2 22" xfId="317" xr:uid="{00000000-0005-0000-0000-000055000000}"/>
    <cellStyle name="一般 2 23" xfId="318" xr:uid="{00000000-0005-0000-0000-000056000000}"/>
    <cellStyle name="一般 2 24" xfId="304" xr:uid="{00000000-0005-0000-0000-000057000000}"/>
    <cellStyle name="一般 2 25" xfId="319" xr:uid="{00000000-0005-0000-0000-000058000000}"/>
    <cellStyle name="一般 2 26" xfId="178" xr:uid="{00000000-0005-0000-0000-000059000000}"/>
    <cellStyle name="一般 2 27" xfId="273" xr:uid="{00000000-0005-0000-0000-00005A000000}"/>
    <cellStyle name="一般 2 28" xfId="137" xr:uid="{00000000-0005-0000-0000-00005B000000}"/>
    <cellStyle name="一般 2 29" xfId="139" xr:uid="{00000000-0005-0000-0000-00005C000000}"/>
    <cellStyle name="一般 2 3" xfId="320" xr:uid="{00000000-0005-0000-0000-00005D000000}"/>
    <cellStyle name="一般 2 6" xfId="176" xr:uid="{00000000-0005-0000-0000-00005E000000}"/>
    <cellStyle name="一般 2 7" xfId="321" xr:uid="{00000000-0005-0000-0000-00005F000000}"/>
    <cellStyle name="一般 2 8" xfId="28" xr:uid="{00000000-0005-0000-0000-000060000000}"/>
    <cellStyle name="一般 2 9" xfId="23" xr:uid="{00000000-0005-0000-0000-000061000000}"/>
    <cellStyle name="一般 2_Sheet1" xfId="272" xr:uid="{00000000-0005-0000-0000-000062000000}"/>
    <cellStyle name="一般 21" xfId="130" xr:uid="{00000000-0005-0000-0000-000063000000}"/>
    <cellStyle name="一般 22" xfId="234" xr:uid="{00000000-0005-0000-0000-000064000000}"/>
    <cellStyle name="一般 24" xfId="241" xr:uid="{00000000-0005-0000-0000-000065000000}"/>
    <cellStyle name="一般 25" xfId="250" xr:uid="{00000000-0005-0000-0000-000066000000}"/>
    <cellStyle name="一般 26" xfId="257" xr:uid="{00000000-0005-0000-0000-000067000000}"/>
    <cellStyle name="一般 3" xfId="66" xr:uid="{00000000-0005-0000-0000-000068000000}"/>
    <cellStyle name="一般 3 2" xfId="322" xr:uid="{00000000-0005-0000-0000-000069000000}"/>
    <cellStyle name="一般 3 2 2" xfId="323" xr:uid="{00000000-0005-0000-0000-00006A000000}"/>
    <cellStyle name="一般 3 3" xfId="324" xr:uid="{00000000-0005-0000-0000-00006B000000}"/>
    <cellStyle name="一般 3 3 10" xfId="325" xr:uid="{00000000-0005-0000-0000-00006C000000}"/>
    <cellStyle name="一般 3 3 16" xfId="239" xr:uid="{00000000-0005-0000-0000-00006D000000}"/>
    <cellStyle name="一般 3 3 18" xfId="326" xr:uid="{00000000-0005-0000-0000-00006E000000}"/>
    <cellStyle name="一般 3 3 2" xfId="327" xr:uid="{00000000-0005-0000-0000-00006F000000}"/>
    <cellStyle name="一般 3 3 3" xfId="41" xr:uid="{00000000-0005-0000-0000-000070000000}"/>
    <cellStyle name="一般 3 5" xfId="8" xr:uid="{00000000-0005-0000-0000-000071000000}"/>
    <cellStyle name="一般 6" xfId="98" xr:uid="{00000000-0005-0000-0000-000072000000}"/>
    <cellStyle name="一般 7" xfId="99" xr:uid="{00000000-0005-0000-0000-000073000000}"/>
    <cellStyle name="好 2" xfId="283" xr:uid="{00000000-0005-0000-0000-000074000000}"/>
    <cellStyle name="好 3" xfId="284" xr:uid="{00000000-0005-0000-0000-000075000000}"/>
    <cellStyle name="差 2" xfId="145" xr:uid="{00000000-0005-0000-0000-000076000000}"/>
    <cellStyle name="差 3" xfId="146" xr:uid="{00000000-0005-0000-0000-000077000000}"/>
    <cellStyle name="常规 10" xfId="111" xr:uid="{00000000-0005-0000-0000-000078000000}"/>
    <cellStyle name="常规 10 10 2" xfId="123" xr:uid="{00000000-0005-0000-0000-000079000000}"/>
    <cellStyle name="常规 10 2" xfId="147" xr:uid="{00000000-0005-0000-0000-00007A000000}"/>
    <cellStyle name="常规 10 2 2 2 2 2 2 2 2 2" xfId="148" xr:uid="{00000000-0005-0000-0000-00007B000000}"/>
    <cellStyle name="常规 10 3" xfId="150" xr:uid="{00000000-0005-0000-0000-00007C000000}"/>
    <cellStyle name="常规 11" xfId="121" xr:uid="{00000000-0005-0000-0000-00007D000000}"/>
    <cellStyle name="常规 12" xfId="151" xr:uid="{00000000-0005-0000-0000-00007E000000}"/>
    <cellStyle name="常规 12 15" xfId="152" xr:uid="{00000000-0005-0000-0000-00007F000000}"/>
    <cellStyle name="常规 13" xfId="153" xr:uid="{00000000-0005-0000-0000-000080000000}"/>
    <cellStyle name="常规 14" xfId="155" xr:uid="{00000000-0005-0000-0000-000081000000}"/>
    <cellStyle name="常规 15" xfId="102" xr:uid="{00000000-0005-0000-0000-000082000000}"/>
    <cellStyle name="常规 16" xfId="157" xr:uid="{00000000-0005-0000-0000-000083000000}"/>
    <cellStyle name="常规 160" xfId="158" xr:uid="{00000000-0005-0000-0000-000084000000}"/>
    <cellStyle name="常规 160 2" xfId="159" xr:uid="{00000000-0005-0000-0000-000085000000}"/>
    <cellStyle name="常规 160 2 2" xfId="160" xr:uid="{00000000-0005-0000-0000-000086000000}"/>
    <cellStyle name="常规 160 3" xfId="161" xr:uid="{00000000-0005-0000-0000-000087000000}"/>
    <cellStyle name="常规 17" xfId="163" xr:uid="{00000000-0005-0000-0000-000088000000}"/>
    <cellStyle name="常规 18" xfId="165" xr:uid="{00000000-0005-0000-0000-000089000000}"/>
    <cellStyle name="常规 18 2" xfId="166" xr:uid="{00000000-0005-0000-0000-00008A000000}"/>
    <cellStyle name="常规 19" xfId="168" xr:uid="{00000000-0005-0000-0000-00008B000000}"/>
    <cellStyle name="常规 2" xfId="125" xr:uid="{00000000-0005-0000-0000-00008C000000}"/>
    <cellStyle name="常规 2 10" xfId="170" xr:uid="{00000000-0005-0000-0000-00008D000000}"/>
    <cellStyle name="常规 2 10 2" xfId="154" xr:uid="{00000000-0005-0000-0000-00008E000000}"/>
    <cellStyle name="常规 2 11" xfId="171" xr:uid="{00000000-0005-0000-0000-00008F000000}"/>
    <cellStyle name="常规 2 2" xfId="78" xr:uid="{00000000-0005-0000-0000-000090000000}"/>
    <cellStyle name="常规 2 2 2" xfId="175" xr:uid="{00000000-0005-0000-0000-000091000000}"/>
    <cellStyle name="常规 2 2 2 2" xfId="177" xr:uid="{00000000-0005-0000-0000-000092000000}"/>
    <cellStyle name="常规 2 2 2 2 2" xfId="179" xr:uid="{00000000-0005-0000-0000-000093000000}"/>
    <cellStyle name="常规 2 2 2 2 2 3" xfId="16" xr:uid="{00000000-0005-0000-0000-000094000000}"/>
    <cellStyle name="常规 2 2 2 2 2 3 2" xfId="34" xr:uid="{00000000-0005-0000-0000-000095000000}"/>
    <cellStyle name="常规 2 2 2 2 2 3_20130720+广佛区无创产前基因检测血浆分离反馈表 1(1).1版" xfId="181" xr:uid="{00000000-0005-0000-0000-000096000000}"/>
    <cellStyle name="常规 2 2 2 2 2 4" xfId="183" xr:uid="{00000000-0005-0000-0000-000097000000}"/>
    <cellStyle name="常规 2 2 2 2 2_20130821+广佛区无创产前基因检测血浆分离反馈表 1(1).1版" xfId="185" xr:uid="{00000000-0005-0000-0000-000098000000}"/>
    <cellStyle name="常规 2 2 2 4" xfId="29" xr:uid="{00000000-0005-0000-0000-000099000000}"/>
    <cellStyle name="常规 2 2 3" xfId="189" xr:uid="{00000000-0005-0000-0000-00009A000000}"/>
    <cellStyle name="常规 2 2 4" xfId="7" xr:uid="{00000000-0005-0000-0000-00009B000000}"/>
    <cellStyle name="常规 2 2 5" xfId="193" xr:uid="{00000000-0005-0000-0000-00009C000000}"/>
    <cellStyle name="常规 2 3" xfId="79" xr:uid="{00000000-0005-0000-0000-00009D000000}"/>
    <cellStyle name="常规 2 3 15" xfId="194" xr:uid="{00000000-0005-0000-0000-00009E000000}"/>
    <cellStyle name="常规 2 34" xfId="19" xr:uid="{00000000-0005-0000-0000-00009F000000}"/>
    <cellStyle name="常规 2 4" xfId="81" xr:uid="{00000000-0005-0000-0000-0000A0000000}"/>
    <cellStyle name="常规 2 5" xfId="83" xr:uid="{00000000-0005-0000-0000-0000A1000000}"/>
    <cellStyle name="常规 2 6" xfId="85" xr:uid="{00000000-0005-0000-0000-0000A2000000}"/>
    <cellStyle name="常规 2 7" xfId="195" xr:uid="{00000000-0005-0000-0000-0000A3000000}"/>
    <cellStyle name="常规 2 8" xfId="197" xr:uid="{00000000-0005-0000-0000-0000A4000000}"/>
    <cellStyle name="常规 2 9" xfId="199" xr:uid="{00000000-0005-0000-0000-0000A5000000}"/>
    <cellStyle name="常规 2_20120608+佛山妇幼保健院+无创产前基因检测样本收集信息表 1(1).3版本" xfId="200" xr:uid="{00000000-0005-0000-0000-0000A6000000}"/>
    <cellStyle name="常规 20" xfId="101" xr:uid="{00000000-0005-0000-0000-0000A7000000}"/>
    <cellStyle name="常规 21" xfId="156" xr:uid="{00000000-0005-0000-0000-0000A8000000}"/>
    <cellStyle name="常规 22" xfId="162" xr:uid="{00000000-0005-0000-0000-0000A9000000}"/>
    <cellStyle name="常规 224" xfId="201" xr:uid="{00000000-0005-0000-0000-0000AA000000}"/>
    <cellStyle name="常规 23" xfId="164" xr:uid="{00000000-0005-0000-0000-0000AB000000}"/>
    <cellStyle name="常规 24" xfId="167" xr:uid="{00000000-0005-0000-0000-0000AC000000}"/>
    <cellStyle name="常规 25" xfId="203" xr:uid="{00000000-0005-0000-0000-0000AD000000}"/>
    <cellStyle name="常规 26" xfId="18" xr:uid="{00000000-0005-0000-0000-0000AE000000}"/>
    <cellStyle name="常规 27" xfId="205" xr:uid="{00000000-0005-0000-0000-0000AF000000}"/>
    <cellStyle name="常规 28" xfId="207" xr:uid="{00000000-0005-0000-0000-0000B0000000}"/>
    <cellStyle name="常规 29" xfId="209" xr:uid="{00000000-0005-0000-0000-0000B1000000}"/>
    <cellStyle name="常规 3" xfId="46" xr:uid="{00000000-0005-0000-0000-0000B2000000}"/>
    <cellStyle name="常规 3 2" xfId="210" xr:uid="{00000000-0005-0000-0000-0000B3000000}"/>
    <cellStyle name="常规 3 2 10" xfId="211" xr:uid="{00000000-0005-0000-0000-0000B4000000}"/>
    <cellStyle name="常规 3 2 10 3" xfId="213" xr:uid="{00000000-0005-0000-0000-0000B5000000}"/>
    <cellStyle name="常规 3 2 2 2" xfId="55" xr:uid="{00000000-0005-0000-0000-0000B6000000}"/>
    <cellStyle name="常规 3 28" xfId="113" xr:uid="{00000000-0005-0000-0000-0000B7000000}"/>
    <cellStyle name="常规 3 3" xfId="214" xr:uid="{00000000-0005-0000-0000-0000B8000000}"/>
    <cellStyle name="常规 3 4" xfId="215" xr:uid="{00000000-0005-0000-0000-0000B9000000}"/>
    <cellStyle name="常规 3 48" xfId="216" xr:uid="{00000000-0005-0000-0000-0000BA000000}"/>
    <cellStyle name="常规 3 6" xfId="218" xr:uid="{00000000-0005-0000-0000-0000BB000000}"/>
    <cellStyle name="常规 3 8" xfId="220" xr:uid="{00000000-0005-0000-0000-0000BC000000}"/>
    <cellStyle name="常规 3_潍坊市计划生育指导中心" xfId="80" xr:uid="{00000000-0005-0000-0000-0000BD000000}"/>
    <cellStyle name="常规 30" xfId="202" xr:uid="{00000000-0005-0000-0000-0000BE000000}"/>
    <cellStyle name="常规 31" xfId="17" xr:uid="{00000000-0005-0000-0000-0000BF000000}"/>
    <cellStyle name="常规 32" xfId="204" xr:uid="{00000000-0005-0000-0000-0000C0000000}"/>
    <cellStyle name="常规 33" xfId="206" xr:uid="{00000000-0005-0000-0000-0000C1000000}"/>
    <cellStyle name="常规 34" xfId="208" xr:uid="{00000000-0005-0000-0000-0000C2000000}"/>
    <cellStyle name="常规 35" xfId="222" xr:uid="{00000000-0005-0000-0000-0000C3000000}"/>
    <cellStyle name="常规 35 6" xfId="223" xr:uid="{00000000-0005-0000-0000-0000C4000000}"/>
    <cellStyle name="常规 36" xfId="227" xr:uid="{00000000-0005-0000-0000-0000C5000000}"/>
    <cellStyle name="常规 37" xfId="174" xr:uid="{00000000-0005-0000-0000-0000C6000000}"/>
    <cellStyle name="常规 38" xfId="188" xr:uid="{00000000-0005-0000-0000-0000C7000000}"/>
    <cellStyle name="常规 39" xfId="6" xr:uid="{00000000-0005-0000-0000-0000C8000000}"/>
    <cellStyle name="常规 4" xfId="48" xr:uid="{00000000-0005-0000-0000-0000C9000000}"/>
    <cellStyle name="常规 4 2" xfId="228" xr:uid="{00000000-0005-0000-0000-0000CA000000}"/>
    <cellStyle name="常规 4 3" xfId="229" xr:uid="{00000000-0005-0000-0000-0000CB000000}"/>
    <cellStyle name="常规 4 3 3" xfId="230" xr:uid="{00000000-0005-0000-0000-0000CC000000}"/>
    <cellStyle name="常规 4 4" xfId="231" xr:uid="{00000000-0005-0000-0000-0000CD000000}"/>
    <cellStyle name="常规 4 5" xfId="233" xr:uid="{00000000-0005-0000-0000-0000CE000000}"/>
    <cellStyle name="常规 4_Sheet1" xfId="226" xr:uid="{00000000-0005-0000-0000-0000CF000000}"/>
    <cellStyle name="常规 40" xfId="221" xr:uid="{00000000-0005-0000-0000-0000D0000000}"/>
    <cellStyle name="常规 41" xfId="225" xr:uid="{00000000-0005-0000-0000-0000D1000000}"/>
    <cellStyle name="常规 42" xfId="173" xr:uid="{00000000-0005-0000-0000-0000D2000000}"/>
    <cellStyle name="常规 43" xfId="187" xr:uid="{00000000-0005-0000-0000-0000D3000000}"/>
    <cellStyle name="常规 44" xfId="5" xr:uid="{00000000-0005-0000-0000-0000D4000000}"/>
    <cellStyle name="常规 45" xfId="192" xr:uid="{00000000-0005-0000-0000-0000D5000000}"/>
    <cellStyle name="常规 46" xfId="128" xr:uid="{00000000-0005-0000-0000-0000D6000000}"/>
    <cellStyle name="常规 47" xfId="133" xr:uid="{00000000-0005-0000-0000-0000D7000000}"/>
    <cellStyle name="常规 48" xfId="236" xr:uid="{00000000-0005-0000-0000-0000D8000000}"/>
    <cellStyle name="常规 49" xfId="238" xr:uid="{00000000-0005-0000-0000-0000D9000000}"/>
    <cellStyle name="常规 5" xfId="88" xr:uid="{00000000-0005-0000-0000-0000DA000000}"/>
    <cellStyle name="常规 5 10" xfId="62" xr:uid="{00000000-0005-0000-0000-0000DB000000}"/>
    <cellStyle name="常规 5 2" xfId="13" xr:uid="{00000000-0005-0000-0000-0000DC000000}"/>
    <cellStyle name="常规 5 2 2" xfId="14" xr:uid="{00000000-0005-0000-0000-0000DD000000}"/>
    <cellStyle name="常规 5 4" xfId="240" xr:uid="{00000000-0005-0000-0000-0000DE000000}"/>
    <cellStyle name="常规 50" xfId="191" xr:uid="{00000000-0005-0000-0000-0000DF000000}"/>
    <cellStyle name="常规 51" xfId="127" xr:uid="{00000000-0005-0000-0000-0000E0000000}"/>
    <cellStyle name="常规 52" xfId="132" xr:uid="{00000000-0005-0000-0000-0000E1000000}"/>
    <cellStyle name="常规 53" xfId="235" xr:uid="{00000000-0005-0000-0000-0000E2000000}"/>
    <cellStyle name="常规 54" xfId="237" xr:uid="{00000000-0005-0000-0000-0000E3000000}"/>
    <cellStyle name="常规 55" xfId="243" xr:uid="{00000000-0005-0000-0000-0000E4000000}"/>
    <cellStyle name="常规 55 2" xfId="244" xr:uid="{00000000-0005-0000-0000-0000E5000000}"/>
    <cellStyle name="常规 55 2 2" xfId="245" xr:uid="{00000000-0005-0000-0000-0000E6000000}"/>
    <cellStyle name="常规 55 2 2 2" xfId="246" xr:uid="{00000000-0005-0000-0000-0000E7000000}"/>
    <cellStyle name="常规 55 2 3" xfId="184" xr:uid="{00000000-0005-0000-0000-0000E8000000}"/>
    <cellStyle name="常规 55 3" xfId="247" xr:uid="{00000000-0005-0000-0000-0000E9000000}"/>
    <cellStyle name="常规 55 3 2" xfId="248" xr:uid="{00000000-0005-0000-0000-0000EA000000}"/>
    <cellStyle name="常规 55 4" xfId="249" xr:uid="{00000000-0005-0000-0000-0000EB000000}"/>
    <cellStyle name="常规 56" xfId="252" xr:uid="{00000000-0005-0000-0000-0000EC000000}"/>
    <cellStyle name="常规 56 2" xfId="253" xr:uid="{00000000-0005-0000-0000-0000ED000000}"/>
    <cellStyle name="常规 56 2 2" xfId="255" xr:uid="{00000000-0005-0000-0000-0000EE000000}"/>
    <cellStyle name="常规 56 3" xfId="256" xr:uid="{00000000-0005-0000-0000-0000EF000000}"/>
    <cellStyle name="常规 57" xfId="259" xr:uid="{00000000-0005-0000-0000-0000F0000000}"/>
    <cellStyle name="常规 58" xfId="54" xr:uid="{00000000-0005-0000-0000-0000F1000000}"/>
    <cellStyle name="常规 59" xfId="57" xr:uid="{00000000-0005-0000-0000-0000F2000000}"/>
    <cellStyle name="常规 6" xfId="11" xr:uid="{00000000-0005-0000-0000-0000F3000000}"/>
    <cellStyle name="常规 6 2" xfId="261" xr:uid="{00000000-0005-0000-0000-0000F4000000}"/>
    <cellStyle name="常规 6 2 2" xfId="262" xr:uid="{00000000-0005-0000-0000-0000F5000000}"/>
    <cellStyle name="常规 6 3" xfId="264" xr:uid="{00000000-0005-0000-0000-0000F6000000}"/>
    <cellStyle name="常规 60" xfId="242" xr:uid="{00000000-0005-0000-0000-0000F7000000}"/>
    <cellStyle name="常规 61" xfId="251" xr:uid="{00000000-0005-0000-0000-0000F8000000}"/>
    <cellStyle name="常规 62" xfId="258" xr:uid="{00000000-0005-0000-0000-0000F9000000}"/>
    <cellStyle name="常规 63" xfId="53" xr:uid="{00000000-0005-0000-0000-0000FA000000}"/>
    <cellStyle name="常规 64" xfId="56" xr:uid="{00000000-0005-0000-0000-0000FB000000}"/>
    <cellStyle name="常规 65" xfId="58" xr:uid="{00000000-0005-0000-0000-0000FC000000}"/>
    <cellStyle name="常规 66" xfId="59" xr:uid="{00000000-0005-0000-0000-0000FD000000}"/>
    <cellStyle name="常规 66 2" xfId="265" xr:uid="{00000000-0005-0000-0000-0000FE000000}"/>
    <cellStyle name="常规 66 2 2" xfId="118" xr:uid="{00000000-0005-0000-0000-0000FF000000}"/>
    <cellStyle name="常规 66 2 2 2" xfId="266" xr:uid="{00000000-0005-0000-0000-000000010000}"/>
    <cellStyle name="常规 66 2 3" xfId="267" xr:uid="{00000000-0005-0000-0000-000001010000}"/>
    <cellStyle name="常规 66 3" xfId="268" xr:uid="{00000000-0005-0000-0000-000002010000}"/>
    <cellStyle name="常规 66 3 2" xfId="269" xr:uid="{00000000-0005-0000-0000-000003010000}"/>
    <cellStyle name="常规 66 4" xfId="117" xr:uid="{00000000-0005-0000-0000-000004010000}"/>
    <cellStyle name="常规 7" xfId="270" xr:uid="{00000000-0005-0000-0000-000005010000}"/>
    <cellStyle name="常规 7 2" xfId="271" xr:uid="{00000000-0005-0000-0000-000006010000}"/>
    <cellStyle name="常规 7 2 2" xfId="274" xr:uid="{00000000-0005-0000-0000-000007010000}"/>
    <cellStyle name="常规 8" xfId="275" xr:uid="{00000000-0005-0000-0000-000008010000}"/>
    <cellStyle name="常规 8 3" xfId="22" xr:uid="{00000000-0005-0000-0000-000009010000}"/>
    <cellStyle name="常规 85" xfId="15" xr:uid="{00000000-0005-0000-0000-00000A010000}"/>
    <cellStyle name="常规 85 2" xfId="33" xr:uid="{00000000-0005-0000-0000-00000B010000}"/>
    <cellStyle name="常规 85 2 2" xfId="42" xr:uid="{00000000-0005-0000-0000-00000C010000}"/>
    <cellStyle name="常规 85 2 2 2" xfId="276" xr:uid="{00000000-0005-0000-0000-00000D010000}"/>
    <cellStyle name="常规 85 2 3" xfId="25" xr:uid="{00000000-0005-0000-0000-00000E010000}"/>
    <cellStyle name="常规 85 3" xfId="3" xr:uid="{00000000-0005-0000-0000-00000F010000}"/>
    <cellStyle name="常规 85 3 2" xfId="44" xr:uid="{00000000-0005-0000-0000-000010010000}"/>
    <cellStyle name="常规 85 4" xfId="37" xr:uid="{00000000-0005-0000-0000-000011010000}"/>
    <cellStyle name="常规 86" xfId="182" xr:uid="{00000000-0005-0000-0000-000012010000}"/>
    <cellStyle name="常规 86 2" xfId="149" xr:uid="{00000000-0005-0000-0000-000013010000}"/>
    <cellStyle name="常规 86 2 2" xfId="277" xr:uid="{00000000-0005-0000-0000-000014010000}"/>
    <cellStyle name="常规 86 2 2 2" xfId="278" xr:uid="{00000000-0005-0000-0000-000015010000}"/>
    <cellStyle name="常规 86 2 3" xfId="219" xr:uid="{00000000-0005-0000-0000-000016010000}"/>
    <cellStyle name="常规 86 3" xfId="279" xr:uid="{00000000-0005-0000-0000-000017010000}"/>
    <cellStyle name="常规 86 3 2" xfId="280" xr:uid="{00000000-0005-0000-0000-000018010000}"/>
    <cellStyle name="常规 86 4" xfId="64" xr:uid="{00000000-0005-0000-0000-000019010000}"/>
    <cellStyle name="常规 9" xfId="281" xr:uid="{00000000-0005-0000-0000-00001A010000}"/>
    <cellStyle name="常规 9 2" xfId="67" xr:uid="{00000000-0005-0000-0000-00001B010000}"/>
    <cellStyle name="常规 9 6" xfId="100" xr:uid="{00000000-0005-0000-0000-00001C010000}"/>
    <cellStyle name="常规_Sheet1" xfId="282" xr:uid="{00000000-0005-0000-0000-00001D010000}"/>
    <cellStyle name="强调文字颜色 1 2" xfId="110" xr:uid="{00000000-0005-0000-0000-00001E010000}"/>
    <cellStyle name="强调文字颜色 1 3" xfId="291" xr:uid="{00000000-0005-0000-0000-00001F010000}"/>
    <cellStyle name="强调文字颜色 2 2" xfId="292" xr:uid="{00000000-0005-0000-0000-000020010000}"/>
    <cellStyle name="强调文字颜色 2 3" xfId="293" xr:uid="{00000000-0005-0000-0000-000021010000}"/>
    <cellStyle name="强调文字颜色 3 2" xfId="294" xr:uid="{00000000-0005-0000-0000-000022010000}"/>
    <cellStyle name="强调文字颜色 3 3" xfId="169" xr:uid="{00000000-0005-0000-0000-000023010000}"/>
    <cellStyle name="强调文字颜色 4 2" xfId="82" xr:uid="{00000000-0005-0000-0000-000024010000}"/>
    <cellStyle name="强调文字颜色 4 3" xfId="84" xr:uid="{00000000-0005-0000-0000-000025010000}"/>
    <cellStyle name="强调文字颜色 5 2" xfId="295" xr:uid="{00000000-0005-0000-0000-000026010000}"/>
    <cellStyle name="强调文字颜色 5 3" xfId="217" xr:uid="{00000000-0005-0000-0000-000027010000}"/>
    <cellStyle name="强调文字颜色 6 2" xfId="232" xr:uid="{00000000-0005-0000-0000-000028010000}"/>
    <cellStyle name="强调文字颜色 6 3" xfId="296" xr:uid="{00000000-0005-0000-0000-000029010000}"/>
    <cellStyle name="标题 1 2" xfId="129" xr:uid="{00000000-0005-0000-0000-00002A010000}"/>
    <cellStyle name="标题 1 3" xfId="134" xr:uid="{00000000-0005-0000-0000-00002B010000}"/>
    <cellStyle name="标题 2 2" xfId="135" xr:uid="{00000000-0005-0000-0000-00002C010000}"/>
    <cellStyle name="标题 2 3" xfId="136" xr:uid="{00000000-0005-0000-0000-00002D010000}"/>
    <cellStyle name="标题 3 2" xfId="138" xr:uid="{00000000-0005-0000-0000-00002E010000}"/>
    <cellStyle name="标题 3 3" xfId="140" xr:uid="{00000000-0005-0000-0000-00002F010000}"/>
    <cellStyle name="标题 4 2" xfId="141" xr:uid="{00000000-0005-0000-0000-000030010000}"/>
    <cellStyle name="标题 4 3" xfId="142" xr:uid="{00000000-0005-0000-0000-000031010000}"/>
    <cellStyle name="标题 5" xfId="143" xr:uid="{00000000-0005-0000-0000-000032010000}"/>
    <cellStyle name="标题 6" xfId="144" xr:uid="{00000000-0005-0000-0000-000033010000}"/>
    <cellStyle name="检查单元格 2" xfId="112" xr:uid="{00000000-0005-0000-0000-000034010000}"/>
    <cellStyle name="检查单元格 3" xfId="287" xr:uid="{00000000-0005-0000-0000-000035010000}"/>
    <cellStyle name="汇总 2" xfId="180" xr:uid="{00000000-0005-0000-0000-000036010000}"/>
    <cellStyle name="汇总 3" xfId="285" xr:uid="{00000000-0005-0000-0000-000037010000}"/>
    <cellStyle name="注释 2" xfId="260" xr:uid="{00000000-0005-0000-0000-000038010000}"/>
    <cellStyle name="注释 3" xfId="263" xr:uid="{00000000-0005-0000-0000-000039010000}"/>
    <cellStyle name="解释性文本 2" xfId="288" xr:uid="{00000000-0005-0000-0000-00003A010000}"/>
    <cellStyle name="解释性文本 3" xfId="289" xr:uid="{00000000-0005-0000-0000-00003B010000}"/>
    <cellStyle name="警告文本 2" xfId="60" xr:uid="{00000000-0005-0000-0000-00003C010000}"/>
    <cellStyle name="警告文本 3" xfId="61" xr:uid="{00000000-0005-0000-0000-00003D010000}"/>
    <cellStyle name="计算 2" xfId="9" xr:uid="{00000000-0005-0000-0000-00003E010000}"/>
    <cellStyle name="计算 3" xfId="39" xr:uid="{00000000-0005-0000-0000-00003F010000}"/>
    <cellStyle name="输入 2" xfId="196" xr:uid="{00000000-0005-0000-0000-000040010000}"/>
    <cellStyle name="输入 3" xfId="198" xr:uid="{00000000-0005-0000-0000-000041010000}"/>
    <cellStyle name="输出 2" xfId="32" xr:uid="{00000000-0005-0000-0000-000042010000}"/>
    <cellStyle name="输出 3" xfId="2" xr:uid="{00000000-0005-0000-0000-000043010000}"/>
    <cellStyle name="适中 2" xfId="40" xr:uid="{00000000-0005-0000-0000-000044010000}"/>
    <cellStyle name="适中 3" xfId="297" xr:uid="{00000000-0005-0000-0000-000045010000}"/>
    <cellStyle name="链接单元格 2" xfId="290" xr:uid="{00000000-0005-0000-0000-000046010000}"/>
    <cellStyle name="链接单元格 3" xfId="30" xr:uid="{00000000-0005-0000-0000-000047010000}"/>
  </cellStyles>
  <dxfs count="18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4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103322</xdr:colOff>
      <xdr:row>27</xdr:row>
      <xdr:rowOff>182218</xdr:rowOff>
    </xdr:from>
    <xdr:to>
      <xdr:col>5</xdr:col>
      <xdr:colOff>211968</xdr:colOff>
      <xdr:row>27</xdr:row>
      <xdr:rowOff>1535044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87DD75-E1E9-27FB-5AA9-E0EA278418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6607" t="55188" r="16149" b="11734"/>
        <a:stretch/>
      </xdr:blipFill>
      <xdr:spPr>
        <a:xfrm>
          <a:off x="1003365" y="6885609"/>
          <a:ext cx="2160592" cy="1352826"/>
        </a:xfrm>
        <a:prstGeom prst="rect">
          <a:avLst/>
        </a:prstGeom>
      </xdr:spPr>
    </xdr:pic>
    <xdr:clientData/>
  </xdr:twoCellAnchor>
  <xdr:twoCellAnchor editAs="oneCell">
    <xdr:from>
      <xdr:col>1</xdr:col>
      <xdr:colOff>164178</xdr:colOff>
      <xdr:row>41</xdr:row>
      <xdr:rowOff>160651</xdr:rowOff>
    </xdr:from>
    <xdr:to>
      <xdr:col>5</xdr:col>
      <xdr:colOff>235552</xdr:colOff>
      <xdr:row>41</xdr:row>
      <xdr:rowOff>1649146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75CE3C5-FD1C-2844-C909-D474DCECC2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5060" t="54660" r="18130" b="11286"/>
        <a:stretch/>
      </xdr:blipFill>
      <xdr:spPr>
        <a:xfrm>
          <a:off x="1275428" y="12948845"/>
          <a:ext cx="2126797" cy="1488495"/>
        </a:xfrm>
        <a:prstGeom prst="rect">
          <a:avLst/>
        </a:prstGeom>
      </xdr:spPr>
    </xdr:pic>
    <xdr:clientData/>
  </xdr:twoCellAnchor>
  <xdr:twoCellAnchor editAs="oneCell">
    <xdr:from>
      <xdr:col>0</xdr:col>
      <xdr:colOff>313986</xdr:colOff>
      <xdr:row>0</xdr:row>
      <xdr:rowOff>79375</xdr:rowOff>
    </xdr:from>
    <xdr:to>
      <xdr:col>0</xdr:col>
      <xdr:colOff>790915</xdr:colOff>
      <xdr:row>2</xdr:row>
      <xdr:rowOff>110477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10C66B-2B17-E9D2-CE05-98683ACD9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986" y="79375"/>
          <a:ext cx="476929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103322</xdr:colOff>
      <xdr:row>27</xdr:row>
      <xdr:rowOff>182218</xdr:rowOff>
    </xdr:from>
    <xdr:to>
      <xdr:col>5</xdr:col>
      <xdr:colOff>219744</xdr:colOff>
      <xdr:row>27</xdr:row>
      <xdr:rowOff>1535044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ED44497-CE68-469D-83D5-3785AD0A14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6607" t="55188" r="16149" b="11734"/>
        <a:stretch/>
      </xdr:blipFill>
      <xdr:spPr>
        <a:xfrm>
          <a:off x="1214572" y="8087968"/>
          <a:ext cx="2152310" cy="1352826"/>
        </a:xfrm>
        <a:prstGeom prst="rect">
          <a:avLst/>
        </a:prstGeom>
      </xdr:spPr>
    </xdr:pic>
    <xdr:clientData/>
  </xdr:twoCellAnchor>
  <xdr:twoCellAnchor editAs="oneCell">
    <xdr:from>
      <xdr:col>0</xdr:col>
      <xdr:colOff>313986</xdr:colOff>
      <xdr:row>0</xdr:row>
      <xdr:rowOff>79375</xdr:rowOff>
    </xdr:from>
    <xdr:to>
      <xdr:col>0</xdr:col>
      <xdr:colOff>790915</xdr:colOff>
      <xdr:row>2</xdr:row>
      <xdr:rowOff>110477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A037CB-8C71-4F1D-92AC-40D19A289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986" y="79375"/>
          <a:ext cx="476929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103322</xdr:colOff>
      <xdr:row>27</xdr:row>
      <xdr:rowOff>182218</xdr:rowOff>
    </xdr:from>
    <xdr:to>
      <xdr:col>5</xdr:col>
      <xdr:colOff>219588</xdr:colOff>
      <xdr:row>27</xdr:row>
      <xdr:rowOff>1535044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BF93B5E-88B5-4E7D-B216-CCA5ACA9D7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6607" t="55188" r="16149" b="11734"/>
        <a:stretch/>
      </xdr:blipFill>
      <xdr:spPr>
        <a:xfrm>
          <a:off x="1192982" y="7604098"/>
          <a:ext cx="2105086" cy="1352826"/>
        </a:xfrm>
        <a:prstGeom prst="rect">
          <a:avLst/>
        </a:prstGeom>
      </xdr:spPr>
    </xdr:pic>
    <xdr:clientData/>
  </xdr:twoCellAnchor>
  <xdr:twoCellAnchor editAs="oneCell">
    <xdr:from>
      <xdr:col>1</xdr:col>
      <xdr:colOff>125300</xdr:colOff>
      <xdr:row>41</xdr:row>
      <xdr:rowOff>145100</xdr:rowOff>
    </xdr:from>
    <xdr:to>
      <xdr:col>5</xdr:col>
      <xdr:colOff>204294</xdr:colOff>
      <xdr:row>41</xdr:row>
      <xdr:rowOff>1658165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27D3FA0-C819-43AF-8589-BB630FD4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5060" t="54660" r="18130" b="11286"/>
        <a:stretch/>
      </xdr:blipFill>
      <xdr:spPr>
        <a:xfrm>
          <a:off x="1213871" y="12982467"/>
          <a:ext cx="2069525" cy="1513065"/>
        </a:xfrm>
        <a:prstGeom prst="rect">
          <a:avLst/>
        </a:prstGeom>
      </xdr:spPr>
    </xdr:pic>
    <xdr:clientData/>
  </xdr:twoCellAnchor>
  <xdr:twoCellAnchor editAs="oneCell">
    <xdr:from>
      <xdr:col>1</xdr:col>
      <xdr:colOff>103322</xdr:colOff>
      <xdr:row>27</xdr:row>
      <xdr:rowOff>182218</xdr:rowOff>
    </xdr:from>
    <xdr:to>
      <xdr:col>5</xdr:col>
      <xdr:colOff>219588</xdr:colOff>
      <xdr:row>27</xdr:row>
      <xdr:rowOff>1535044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8FC3245-9577-45F4-828B-95F520B7B9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6607" t="55188" r="16149" b="11734"/>
        <a:stretch/>
      </xdr:blipFill>
      <xdr:spPr>
        <a:xfrm>
          <a:off x="1192982" y="7604098"/>
          <a:ext cx="2105086" cy="13528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103322</xdr:colOff>
      <xdr:row>28</xdr:row>
      <xdr:rowOff>182218</xdr:rowOff>
    </xdr:from>
    <xdr:to>
      <xdr:col>5</xdr:col>
      <xdr:colOff>284144</xdr:colOff>
      <xdr:row>28</xdr:row>
      <xdr:rowOff>1535044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8F78580-B8E6-446F-A56C-508B34B33F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6607" t="55188" r="16149" b="11734"/>
        <a:stretch/>
      </xdr:blipFill>
      <xdr:spPr>
        <a:xfrm>
          <a:off x="1214572" y="8087968"/>
          <a:ext cx="2152310" cy="1352826"/>
        </a:xfrm>
        <a:prstGeom prst="rect">
          <a:avLst/>
        </a:prstGeom>
      </xdr:spPr>
    </xdr:pic>
    <xdr:clientData/>
  </xdr:twoCellAnchor>
  <xdr:twoCellAnchor editAs="oneCell">
    <xdr:from>
      <xdr:col>0</xdr:col>
      <xdr:colOff>325229</xdr:colOff>
      <xdr:row>0</xdr:row>
      <xdr:rowOff>79375</xdr:rowOff>
    </xdr:from>
    <xdr:to>
      <xdr:col>0</xdr:col>
      <xdr:colOff>779670</xdr:colOff>
      <xdr:row>2</xdr:row>
      <xdr:rowOff>99297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6631807-E7A5-4D00-993E-C904DED87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229" y="79375"/>
          <a:ext cx="454441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103322</xdr:colOff>
      <xdr:row>28</xdr:row>
      <xdr:rowOff>182218</xdr:rowOff>
    </xdr:from>
    <xdr:to>
      <xdr:col>5</xdr:col>
      <xdr:colOff>295944</xdr:colOff>
      <xdr:row>28</xdr:row>
      <xdr:rowOff>1535044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36FF7D7-E858-4823-9C41-9E4225D62D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6607" t="55188" r="16149" b="11734"/>
        <a:stretch/>
      </xdr:blipFill>
      <xdr:spPr>
        <a:xfrm>
          <a:off x="1192982" y="7748878"/>
          <a:ext cx="2105242" cy="1352826"/>
        </a:xfrm>
        <a:prstGeom prst="rect">
          <a:avLst/>
        </a:prstGeom>
      </xdr:spPr>
    </xdr:pic>
    <xdr:clientData/>
  </xdr:twoCellAnchor>
  <xdr:twoCellAnchor editAs="oneCell">
    <xdr:from>
      <xdr:col>1</xdr:col>
      <xdr:colOff>103322</xdr:colOff>
      <xdr:row>28</xdr:row>
      <xdr:rowOff>182218</xdr:rowOff>
    </xdr:from>
    <xdr:to>
      <xdr:col>5</xdr:col>
      <xdr:colOff>295788</xdr:colOff>
      <xdr:row>28</xdr:row>
      <xdr:rowOff>1535044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5ECB7EE-E6D0-4E7B-A753-A49AB54D23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6607" t="55188" r="16149" b="11734"/>
        <a:stretch/>
      </xdr:blipFill>
      <xdr:spPr>
        <a:xfrm>
          <a:off x="1192982" y="7748878"/>
          <a:ext cx="2105086" cy="1352826"/>
        </a:xfrm>
        <a:prstGeom prst="rect">
          <a:avLst/>
        </a:prstGeom>
      </xdr:spPr>
    </xdr:pic>
    <xdr:clientData/>
  </xdr:twoCellAnchor>
  <xdr:twoCellAnchor editAs="oneCell">
    <xdr:from>
      <xdr:col>1</xdr:col>
      <xdr:colOff>95418</xdr:colOff>
      <xdr:row>42</xdr:row>
      <xdr:rowOff>152571</xdr:rowOff>
    </xdr:from>
    <xdr:to>
      <xdr:col>5</xdr:col>
      <xdr:colOff>250612</xdr:colOff>
      <xdr:row>42</xdr:row>
      <xdr:rowOff>1664441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5DDAD98-281F-4A9C-BBF6-7EA2069E51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5060" t="54660" r="18130" b="11286"/>
        <a:stretch/>
      </xdr:blipFill>
      <xdr:spPr>
        <a:xfrm>
          <a:off x="1186124" y="13375512"/>
          <a:ext cx="2067664" cy="1511870"/>
        </a:xfrm>
        <a:prstGeom prst="rect">
          <a:avLst/>
        </a:prstGeom>
      </xdr:spPr>
    </xdr:pic>
    <xdr:clientData/>
  </xdr:twoCellAnchor>
  <xdr:twoCellAnchor editAs="oneCell">
    <xdr:from>
      <xdr:col>1</xdr:col>
      <xdr:colOff>103322</xdr:colOff>
      <xdr:row>28</xdr:row>
      <xdr:rowOff>182218</xdr:rowOff>
    </xdr:from>
    <xdr:to>
      <xdr:col>5</xdr:col>
      <xdr:colOff>295788</xdr:colOff>
      <xdr:row>28</xdr:row>
      <xdr:rowOff>1535044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FD26895-227C-48F0-BE1C-507279E0AD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6607" t="55188" r="16149" b="11734"/>
        <a:stretch/>
      </xdr:blipFill>
      <xdr:spPr>
        <a:xfrm>
          <a:off x="1192982" y="7748878"/>
          <a:ext cx="2105086" cy="13528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351693</xdr:colOff>
      <xdr:row>0</xdr:row>
      <xdr:rowOff>29308</xdr:rowOff>
    </xdr:from>
    <xdr:to>
      <xdr:col>1</xdr:col>
      <xdr:colOff>989285</xdr:colOff>
      <xdr:row>3</xdr:row>
      <xdr:rowOff>106815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69A8193-04CD-4BDA-BBDD-B660800CD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6385" y="29308"/>
          <a:ext cx="637592" cy="5171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0</xdr:row>
      <xdr:rowOff>50800</xdr:rowOff>
    </xdr:from>
    <xdr:to>
      <xdr:col>0</xdr:col>
      <xdr:colOff>904292</xdr:colOff>
      <xdr:row>4</xdr:row>
      <xdr:rowOff>110722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8F6CF2-8A84-42D4-8658-977C655F2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50800"/>
          <a:ext cx="637592" cy="51712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356152</xdr:colOff>
      <xdr:row>44</xdr:row>
      <xdr:rowOff>149087</xdr:rowOff>
    </xdr:from>
    <xdr:to>
      <xdr:col>4</xdr:col>
      <xdr:colOff>695740</xdr:colOff>
      <xdr:row>52</xdr:row>
      <xdr:rowOff>248479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557DBFA-0B12-6038-6A6D-FD194ECFCB55}"/>
            </a:ext>
          </a:extLst>
        </xdr:cNvPr>
        <xdr:cNvSpPr/>
      </xdr:nvSpPr>
      <xdr:spPr>
        <a:xfrm>
          <a:off x="2874065" y="9591261"/>
          <a:ext cx="3611218" cy="1954696"/>
        </a:xfrm>
        <a:prstGeom prst="rect">
          <a:avLst/>
        </a:prstGeom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th-TH" sz="1100"/>
            <a:t>แปะ</a:t>
          </a:r>
          <a:r>
            <a:rPr lang="th-TH" sz="1100" baseline="0"/>
            <a:t>สติ๊กเกอร์ของ </a:t>
          </a:r>
          <a:r>
            <a:rPr lang="en-US" sz="1100" baseline="0"/>
            <a:t>Flow cell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798D8-6426-43BC-8D24-F76BD5D44B9E}">
  <sheetPr>
    <tabColor rgb="FFC00000"/>
  </sheetPr>
  <dimension ref="A1:F50"/>
  <sheetViews>
    <sheetView tabSelected="1" topLeftCell="A22" workbookViewId="0">
      <selection activeCell="C43" sqref="C43:C50"/>
    </sheetView>
  </sheetViews>
  <sheetFormatPr defaultColWidth="9.1796875" defaultRowHeight="26"/>
  <cols>
    <col min="1" max="2" width="9.1796875" style="24"/>
    <col min="3" max="3" width="18.453125" style="24" customWidth="1"/>
    <col min="4" max="4" width="18.7265625" style="24" customWidth="1"/>
    <col min="5" max="5" width="17.81640625" style="24" customWidth="1"/>
    <col min="6" max="6" width="16.26953125" style="24" bestFit="1" customWidth="1"/>
    <col min="7" max="16384" width="9.1796875" style="24"/>
  </cols>
  <sheetData>
    <row r="1" spans="1:6">
      <c r="A1" s="121" t="s">
        <v>100</v>
      </c>
      <c r="B1" s="122"/>
      <c r="C1" s="122"/>
      <c r="D1" s="122"/>
      <c r="E1" s="123"/>
    </row>
    <row r="2" spans="1:6">
      <c r="A2" s="28" t="s">
        <v>98</v>
      </c>
      <c r="B2" s="28" t="s">
        <v>97</v>
      </c>
      <c r="C2" s="28" t="s">
        <v>96</v>
      </c>
      <c r="D2" s="27" t="s">
        <v>99</v>
      </c>
      <c r="E2" s="27" t="s">
        <v>95</v>
      </c>
    </row>
    <row r="3" spans="1:6">
      <c r="A3" s="26">
        <v>1</v>
      </c>
      <c r="B3" s="26" t="s">
        <v>94</v>
      </c>
      <c r="C3" s="34" t="s">
        <v>233</v>
      </c>
      <c r="D3" s="34" t="str">
        <f>LEFT(C3,2)&amp;"N"&amp;RIGHT(C3,LEN(C3)-3)&amp;"-1"</f>
        <v>26N120260601-1</v>
      </c>
      <c r="E3" s="34">
        <v>1</v>
      </c>
      <c r="F3" s="33" t="s">
        <v>46</v>
      </c>
    </row>
    <row r="4" spans="1:6">
      <c r="A4" s="25">
        <v>2</v>
      </c>
      <c r="B4" s="25" t="s">
        <v>93</v>
      </c>
      <c r="C4" s="25" t="s">
        <v>234</v>
      </c>
      <c r="D4" s="25" t="str">
        <f>LEFT(C4,2)&amp;"P"&amp;RIGHT(C4,LEN(C4)-3)&amp;"-1"</f>
        <v>26P260601001-1</v>
      </c>
      <c r="E4" s="25">
        <v>2</v>
      </c>
    </row>
    <row r="5" spans="1:6">
      <c r="A5" s="25">
        <v>3</v>
      </c>
      <c r="B5" s="25" t="s">
        <v>92</v>
      </c>
      <c r="C5" s="25" t="s">
        <v>235</v>
      </c>
      <c r="D5" s="25" t="str">
        <f t="shared" ref="D5:D26" si="0">LEFT(C5,2)&amp;"B"&amp;RIGHT(C5,LEN(C5)-3)&amp;"-1"</f>
        <v>26B260601002-1</v>
      </c>
      <c r="E5" s="25">
        <v>3</v>
      </c>
    </row>
    <row r="6" spans="1:6">
      <c r="A6" s="25">
        <v>4</v>
      </c>
      <c r="B6" s="25" t="s">
        <v>91</v>
      </c>
      <c r="C6" s="25" t="s">
        <v>236</v>
      </c>
      <c r="D6" s="25" t="str">
        <f t="shared" si="0"/>
        <v>26B260601003-1</v>
      </c>
      <c r="E6" s="25">
        <v>4</v>
      </c>
    </row>
    <row r="7" spans="1:6">
      <c r="A7" s="25">
        <v>5</v>
      </c>
      <c r="B7" s="25" t="s">
        <v>90</v>
      </c>
      <c r="C7" s="25" t="s">
        <v>237</v>
      </c>
      <c r="D7" s="25" t="str">
        <f t="shared" si="0"/>
        <v>26B260601004-1</v>
      </c>
      <c r="E7" s="25">
        <v>5</v>
      </c>
    </row>
    <row r="8" spans="1:6">
      <c r="A8" s="25">
        <v>6</v>
      </c>
      <c r="B8" s="25" t="s">
        <v>89</v>
      </c>
      <c r="C8" s="25" t="s">
        <v>238</v>
      </c>
      <c r="D8" s="25" t="str">
        <f t="shared" si="0"/>
        <v>26B260601005-1</v>
      </c>
      <c r="E8" s="25">
        <v>6</v>
      </c>
    </row>
    <row r="9" spans="1:6">
      <c r="A9" s="25">
        <v>7</v>
      </c>
      <c r="B9" s="25" t="s">
        <v>88</v>
      </c>
      <c r="C9" s="25" t="s">
        <v>239</v>
      </c>
      <c r="D9" s="25" t="str">
        <f t="shared" si="0"/>
        <v>26B260601006-1</v>
      </c>
      <c r="E9" s="25">
        <v>7</v>
      </c>
    </row>
    <row r="10" spans="1:6">
      <c r="A10" s="25">
        <v>8</v>
      </c>
      <c r="B10" s="25" t="s">
        <v>87</v>
      </c>
      <c r="C10" s="25" t="s">
        <v>240</v>
      </c>
      <c r="D10" s="25" t="str">
        <f t="shared" si="0"/>
        <v>26B260601007-1</v>
      </c>
      <c r="E10" s="25">
        <v>8</v>
      </c>
    </row>
    <row r="11" spans="1:6">
      <c r="A11" s="26">
        <v>9</v>
      </c>
      <c r="B11" s="26" t="s">
        <v>86</v>
      </c>
      <c r="C11" s="25" t="s">
        <v>241</v>
      </c>
      <c r="D11" s="25" t="str">
        <f t="shared" si="0"/>
        <v>26B260601008-1</v>
      </c>
      <c r="E11" s="25">
        <v>9</v>
      </c>
    </row>
    <row r="12" spans="1:6">
      <c r="A12" s="25">
        <v>10</v>
      </c>
      <c r="B12" s="25" t="s">
        <v>85</v>
      </c>
      <c r="C12" s="25" t="s">
        <v>242</v>
      </c>
      <c r="D12" s="25" t="str">
        <f t="shared" si="0"/>
        <v>26B260601009-1</v>
      </c>
      <c r="E12" s="25">
        <v>10</v>
      </c>
    </row>
    <row r="13" spans="1:6">
      <c r="A13" s="25">
        <v>11</v>
      </c>
      <c r="B13" s="25" t="s">
        <v>84</v>
      </c>
      <c r="C13" s="25" t="s">
        <v>243</v>
      </c>
      <c r="D13" s="25" t="str">
        <f t="shared" si="0"/>
        <v>26B260601010-1</v>
      </c>
      <c r="E13" s="25">
        <v>11</v>
      </c>
    </row>
    <row r="14" spans="1:6">
      <c r="A14" s="25">
        <v>12</v>
      </c>
      <c r="B14" s="25" t="s">
        <v>83</v>
      </c>
      <c r="C14" s="25" t="s">
        <v>244</v>
      </c>
      <c r="D14" s="25" t="str">
        <f t="shared" si="0"/>
        <v>26B260601011-1</v>
      </c>
      <c r="E14" s="25">
        <v>12</v>
      </c>
    </row>
    <row r="15" spans="1:6">
      <c r="A15" s="25">
        <v>13</v>
      </c>
      <c r="B15" s="25" t="s">
        <v>82</v>
      </c>
      <c r="C15" s="25" t="s">
        <v>245</v>
      </c>
      <c r="D15" s="25" t="str">
        <f t="shared" si="0"/>
        <v>26B260601012-1</v>
      </c>
      <c r="E15" s="25">
        <v>13</v>
      </c>
    </row>
    <row r="16" spans="1:6">
      <c r="A16" s="25">
        <v>14</v>
      </c>
      <c r="B16" s="25" t="s">
        <v>81</v>
      </c>
      <c r="C16" s="25" t="s">
        <v>246</v>
      </c>
      <c r="D16" s="25" t="str">
        <f t="shared" si="0"/>
        <v>26B260601013-1</v>
      </c>
      <c r="E16" s="25">
        <v>14</v>
      </c>
    </row>
    <row r="17" spans="1:6">
      <c r="A17" s="25">
        <v>15</v>
      </c>
      <c r="B17" s="25" t="s">
        <v>80</v>
      </c>
      <c r="C17" s="25" t="s">
        <v>247</v>
      </c>
      <c r="D17" s="25" t="str">
        <f t="shared" si="0"/>
        <v>26B260601014-1</v>
      </c>
      <c r="E17" s="25">
        <v>15</v>
      </c>
    </row>
    <row r="18" spans="1:6">
      <c r="A18" s="25">
        <v>16</v>
      </c>
      <c r="B18" s="25" t="s">
        <v>79</v>
      </c>
      <c r="C18" s="25" t="s">
        <v>248</v>
      </c>
      <c r="D18" s="25" t="str">
        <f t="shared" si="0"/>
        <v>26B260601015-1</v>
      </c>
      <c r="E18" s="25">
        <v>16</v>
      </c>
    </row>
    <row r="19" spans="1:6">
      <c r="A19" s="26">
        <v>17</v>
      </c>
      <c r="B19" s="26" t="s">
        <v>78</v>
      </c>
      <c r="C19" s="25" t="s">
        <v>249</v>
      </c>
      <c r="D19" s="25" t="str">
        <f t="shared" si="0"/>
        <v>26B260601016-1</v>
      </c>
      <c r="E19" s="25">
        <v>17</v>
      </c>
    </row>
    <row r="20" spans="1:6">
      <c r="A20" s="25">
        <v>18</v>
      </c>
      <c r="B20" s="25" t="s">
        <v>77</v>
      </c>
      <c r="C20" s="25" t="s">
        <v>250</v>
      </c>
      <c r="D20" s="25" t="str">
        <f t="shared" si="0"/>
        <v>26B260601017-1</v>
      </c>
      <c r="E20" s="25">
        <v>18</v>
      </c>
    </row>
    <row r="21" spans="1:6">
      <c r="A21" s="25">
        <v>19</v>
      </c>
      <c r="B21" s="25" t="s">
        <v>76</v>
      </c>
      <c r="C21" s="25" t="s">
        <v>251</v>
      </c>
      <c r="D21" s="25" t="str">
        <f t="shared" si="0"/>
        <v>26B260601018-1</v>
      </c>
      <c r="E21" s="25">
        <v>19</v>
      </c>
    </row>
    <row r="22" spans="1:6">
      <c r="A22" s="25">
        <v>20</v>
      </c>
      <c r="B22" s="25" t="s">
        <v>75</v>
      </c>
      <c r="C22" s="25" t="s">
        <v>252</v>
      </c>
      <c r="D22" s="25" t="str">
        <f t="shared" si="0"/>
        <v>26B260601019-1</v>
      </c>
      <c r="E22" s="25">
        <v>20</v>
      </c>
    </row>
    <row r="23" spans="1:6">
      <c r="A23" s="25">
        <v>21</v>
      </c>
      <c r="B23" s="25" t="s">
        <v>74</v>
      </c>
      <c r="C23" s="25" t="s">
        <v>253</v>
      </c>
      <c r="D23" s="25" t="str">
        <f t="shared" si="0"/>
        <v>26B260601020-1</v>
      </c>
      <c r="E23" s="25">
        <v>21</v>
      </c>
    </row>
    <row r="24" spans="1:6">
      <c r="A24" s="25">
        <v>22</v>
      </c>
      <c r="B24" s="25" t="s">
        <v>73</v>
      </c>
      <c r="C24" s="25" t="s">
        <v>254</v>
      </c>
      <c r="D24" s="25" t="str">
        <f t="shared" si="0"/>
        <v>26B260601021-1</v>
      </c>
      <c r="E24" s="25">
        <v>22</v>
      </c>
    </row>
    <row r="25" spans="1:6">
      <c r="A25" s="25">
        <v>23</v>
      </c>
      <c r="B25" s="25" t="s">
        <v>72</v>
      </c>
      <c r="C25" s="25" t="s">
        <v>255</v>
      </c>
      <c r="D25" s="25" t="str">
        <f t="shared" si="0"/>
        <v>26B260601022-1</v>
      </c>
      <c r="E25" s="25">
        <v>23</v>
      </c>
    </row>
    <row r="26" spans="1:6">
      <c r="A26" s="25">
        <v>24</v>
      </c>
      <c r="B26" s="25" t="s">
        <v>71</v>
      </c>
      <c r="C26" s="25" t="s">
        <v>256</v>
      </c>
      <c r="D26" s="25" t="str">
        <f t="shared" si="0"/>
        <v>26B260601023-1</v>
      </c>
      <c r="E26" s="25">
        <v>24</v>
      </c>
    </row>
    <row r="27" spans="1:6">
      <c r="A27" s="26">
        <v>25</v>
      </c>
      <c r="B27" s="26" t="s">
        <v>70</v>
      </c>
      <c r="C27" s="34" t="s">
        <v>257</v>
      </c>
      <c r="D27" s="34" t="str">
        <f>LEFT(C27,2)&amp;"N"&amp;RIGHT(C27,LEN(C27)-3)&amp;"-1"</f>
        <v>26N220260601-1</v>
      </c>
      <c r="E27" s="34">
        <v>25</v>
      </c>
      <c r="F27" s="33" t="s">
        <v>45</v>
      </c>
    </row>
    <row r="28" spans="1:6">
      <c r="A28" s="25">
        <v>26</v>
      </c>
      <c r="B28" s="25" t="s">
        <v>69</v>
      </c>
      <c r="C28" s="25" t="s">
        <v>258</v>
      </c>
      <c r="D28" s="25" t="str">
        <f t="shared" ref="D28:D41" si="1">LEFT(C28,2)&amp;"P"&amp;RIGHT(C28,LEN(C28)-3)&amp;"-1"</f>
        <v>26P260601024-1</v>
      </c>
      <c r="E28" s="25">
        <v>26</v>
      </c>
    </row>
    <row r="29" spans="1:6">
      <c r="A29" s="25">
        <v>27</v>
      </c>
      <c r="B29" s="25" t="s">
        <v>68</v>
      </c>
      <c r="C29" s="25" t="s">
        <v>259</v>
      </c>
      <c r="D29" s="25" t="str">
        <f t="shared" si="1"/>
        <v>26P260601025-1</v>
      </c>
      <c r="E29" s="25">
        <v>27</v>
      </c>
    </row>
    <row r="30" spans="1:6">
      <c r="A30" s="25">
        <v>28</v>
      </c>
      <c r="B30" s="25" t="s">
        <v>67</v>
      </c>
      <c r="C30" s="25" t="s">
        <v>260</v>
      </c>
      <c r="D30" s="25" t="str">
        <f t="shared" si="1"/>
        <v>26P260601026-1</v>
      </c>
      <c r="E30" s="25">
        <v>28</v>
      </c>
    </row>
    <row r="31" spans="1:6">
      <c r="A31" s="25">
        <v>29</v>
      </c>
      <c r="B31" s="25" t="s">
        <v>66</v>
      </c>
      <c r="C31" s="25" t="s">
        <v>261</v>
      </c>
      <c r="D31" s="25" t="str">
        <f t="shared" si="1"/>
        <v>26P260601027-1</v>
      </c>
      <c r="E31" s="25">
        <v>29</v>
      </c>
    </row>
    <row r="32" spans="1:6">
      <c r="A32" s="25">
        <v>30</v>
      </c>
      <c r="B32" s="25" t="s">
        <v>65</v>
      </c>
      <c r="C32" s="25" t="s">
        <v>262</v>
      </c>
      <c r="D32" s="25" t="str">
        <f t="shared" si="1"/>
        <v>26P260601028-1</v>
      </c>
      <c r="E32" s="25">
        <v>30</v>
      </c>
    </row>
    <row r="33" spans="1:6">
      <c r="A33" s="25">
        <v>31</v>
      </c>
      <c r="B33" s="25" t="s">
        <v>64</v>
      </c>
      <c r="C33" s="25" t="s">
        <v>263</v>
      </c>
      <c r="D33" s="25" t="str">
        <f t="shared" si="1"/>
        <v>26P260601029-1</v>
      </c>
      <c r="E33" s="25">
        <v>31</v>
      </c>
    </row>
    <row r="34" spans="1:6">
      <c r="A34" s="25">
        <v>32</v>
      </c>
      <c r="B34" s="25" t="s">
        <v>63</v>
      </c>
      <c r="C34" s="25" t="s">
        <v>264</v>
      </c>
      <c r="D34" s="25" t="str">
        <f t="shared" si="1"/>
        <v>26P260601030-1</v>
      </c>
      <c r="E34" s="25">
        <v>32</v>
      </c>
    </row>
    <row r="35" spans="1:6">
      <c r="A35" s="26">
        <v>33</v>
      </c>
      <c r="B35" s="26" t="s">
        <v>62</v>
      </c>
      <c r="C35" s="25" t="s">
        <v>265</v>
      </c>
      <c r="D35" s="25" t="str">
        <f t="shared" si="1"/>
        <v>26P260601031-1</v>
      </c>
      <c r="E35" s="25">
        <v>33</v>
      </c>
    </row>
    <row r="36" spans="1:6">
      <c r="A36" s="25">
        <v>34</v>
      </c>
      <c r="B36" s="25" t="s">
        <v>61</v>
      </c>
      <c r="C36" s="25" t="s">
        <v>266</v>
      </c>
      <c r="D36" s="25" t="str">
        <f t="shared" si="1"/>
        <v>26P260601032-1</v>
      </c>
      <c r="E36" s="25">
        <v>34</v>
      </c>
    </row>
    <row r="37" spans="1:6">
      <c r="A37" s="25">
        <v>35</v>
      </c>
      <c r="B37" s="25" t="s">
        <v>60</v>
      </c>
      <c r="C37" s="25" t="s">
        <v>267</v>
      </c>
      <c r="D37" s="25" t="str">
        <f t="shared" si="1"/>
        <v>26P260601033-1</v>
      </c>
      <c r="E37" s="25">
        <v>35</v>
      </c>
    </row>
    <row r="38" spans="1:6">
      <c r="A38" s="25">
        <v>36</v>
      </c>
      <c r="B38" s="25" t="s">
        <v>59</v>
      </c>
      <c r="C38" s="25" t="s">
        <v>268</v>
      </c>
      <c r="D38" s="25" t="str">
        <f t="shared" si="1"/>
        <v>26P260601034-1</v>
      </c>
      <c r="E38" s="25">
        <v>36</v>
      </c>
    </row>
    <row r="39" spans="1:6">
      <c r="A39" s="25">
        <v>37</v>
      </c>
      <c r="B39" s="25" t="s">
        <v>58</v>
      </c>
      <c r="C39" s="25" t="s">
        <v>269</v>
      </c>
      <c r="D39" s="25" t="str">
        <f t="shared" si="1"/>
        <v>26P260601035-1</v>
      </c>
      <c r="E39" s="25">
        <v>37</v>
      </c>
    </row>
    <row r="40" spans="1:6">
      <c r="A40" s="25">
        <v>38</v>
      </c>
      <c r="B40" s="25" t="s">
        <v>57</v>
      </c>
      <c r="C40" s="25" t="s">
        <v>270</v>
      </c>
      <c r="D40" s="25" t="str">
        <f t="shared" si="1"/>
        <v>26P260601036-1</v>
      </c>
      <c r="E40" s="25">
        <v>38</v>
      </c>
    </row>
    <row r="41" spans="1:6">
      <c r="A41" s="25">
        <v>39</v>
      </c>
      <c r="B41" s="25" t="s">
        <v>56</v>
      </c>
      <c r="C41" s="25" t="s">
        <v>272</v>
      </c>
      <c r="D41" s="25" t="str">
        <f t="shared" si="1"/>
        <v>26P260601037-1</v>
      </c>
      <c r="E41" s="25">
        <v>39</v>
      </c>
    </row>
    <row r="42" spans="1:6">
      <c r="A42" s="34">
        <v>40</v>
      </c>
      <c r="B42" s="34" t="s">
        <v>55</v>
      </c>
      <c r="C42" s="34" t="s">
        <v>271</v>
      </c>
      <c r="D42" s="34" t="str">
        <f>LEFT(C42,2)&amp;"N"&amp;RIGHT(C42,LEN(C42)-3)&amp;"-1"</f>
        <v>26N320260601-1</v>
      </c>
      <c r="E42" s="34">
        <v>40</v>
      </c>
      <c r="F42" s="33" t="s">
        <v>106</v>
      </c>
    </row>
    <row r="43" spans="1:6">
      <c r="A43" s="26">
        <v>41</v>
      </c>
      <c r="B43" s="26" t="s">
        <v>54</v>
      </c>
      <c r="C43" s="25" t="s">
        <v>273</v>
      </c>
      <c r="D43" s="25" t="str">
        <f>LEFT(C43,2)&amp;"P"&amp;RIGHT(C43,LEN(C43)-3)&amp;"-1"</f>
        <v>26P260601038-1</v>
      </c>
      <c r="E43" s="25">
        <v>41</v>
      </c>
    </row>
    <row r="44" spans="1:6">
      <c r="A44" s="25">
        <v>42</v>
      </c>
      <c r="B44" s="25" t="s">
        <v>53</v>
      </c>
      <c r="C44" s="25" t="s">
        <v>274</v>
      </c>
      <c r="D44" s="25" t="str">
        <f>LEFT(C44,2)&amp;"P"&amp;RIGHT(C44,LEN(C44)-3)&amp;"-1"</f>
        <v>26P260601039-1</v>
      </c>
      <c r="E44" s="25">
        <v>42</v>
      </c>
    </row>
    <row r="45" spans="1:6">
      <c r="A45" s="25">
        <v>43</v>
      </c>
      <c r="B45" s="25" t="s">
        <v>52</v>
      </c>
      <c r="C45" s="25" t="s">
        <v>275</v>
      </c>
      <c r="D45" s="25" t="str">
        <f>LEFT(C45,2)&amp;"P"&amp;RIGHT(C45,LEN(C45)-3)&amp;"-1"</f>
        <v>26P260601040-1</v>
      </c>
      <c r="E45" s="25">
        <v>43</v>
      </c>
    </row>
    <row r="46" spans="1:6">
      <c r="A46" s="25">
        <v>44</v>
      </c>
      <c r="B46" s="25" t="s">
        <v>51</v>
      </c>
      <c r="C46" s="25" t="s">
        <v>276</v>
      </c>
      <c r="D46" s="25" t="str">
        <f>LEFT(C46,2)&amp;"P"&amp;RIGHT(C46,LEN(C46)-3)&amp;"-1"</f>
        <v>26P260601041-1</v>
      </c>
      <c r="E46" s="25">
        <v>44</v>
      </c>
    </row>
    <row r="47" spans="1:6">
      <c r="A47" s="25">
        <v>45</v>
      </c>
      <c r="B47" s="25" t="s">
        <v>50</v>
      </c>
      <c r="C47" s="25" t="s">
        <v>277</v>
      </c>
      <c r="D47" s="35" t="str">
        <f>LEFT(C47,2)&amp;"P"&amp;RIGHT(C47,LEN(C47)-3)&amp;"-2"</f>
        <v>26P260601042-2</v>
      </c>
      <c r="E47" s="25">
        <v>45</v>
      </c>
    </row>
    <row r="48" spans="1:6">
      <c r="A48" s="25">
        <v>46</v>
      </c>
      <c r="B48" s="25" t="s">
        <v>49</v>
      </c>
      <c r="C48" s="25" t="s">
        <v>278</v>
      </c>
      <c r="D48" s="35" t="str">
        <f>LEFT(C48,2)&amp;"P"&amp;RIGHT(C48,LEN(C48)-3)&amp;"-2"</f>
        <v>26P260601043-2</v>
      </c>
      <c r="E48" s="25">
        <v>46</v>
      </c>
    </row>
    <row r="49" spans="1:5">
      <c r="A49" s="25">
        <v>47</v>
      </c>
      <c r="B49" s="25" t="s">
        <v>48</v>
      </c>
      <c r="C49" s="25" t="s">
        <v>279</v>
      </c>
      <c r="D49" s="35" t="str">
        <f>LEFT(C49,2)&amp;"P"&amp;RIGHT(C49,LEN(C49)-3)&amp;"-2"</f>
        <v>26P260601044-2</v>
      </c>
      <c r="E49" s="25">
        <v>47</v>
      </c>
    </row>
    <row r="50" spans="1:5">
      <c r="A50" s="25">
        <v>48</v>
      </c>
      <c r="B50" s="25" t="s">
        <v>47</v>
      </c>
      <c r="C50" s="25" t="s">
        <v>280</v>
      </c>
      <c r="D50" s="35" t="str">
        <f>LEFT(C50,2)&amp;"P"&amp;RIGHT(C50,LEN(C50)-3)&amp;"-2"</f>
        <v>26P260601045-2</v>
      </c>
      <c r="E50" s="25">
        <v>48</v>
      </c>
    </row>
  </sheetData>
  <autoFilter ref="A2:F2" xr:uid="{00000000-0001-0000-0000-000000000000}"/>
  <mergeCells count="1">
    <mergeCell ref="A1:E1"/>
  </mergeCells>
  <phoneticPr fontId="105" type="noConversion"/>
  <conditionalFormatting sqref="C3:C50">
    <cfRule type="containsBlanks" dxfId="17" priority="7">
      <formula>LEN(TRIM(C3))=0</formula>
    </cfRule>
    <cfRule type="containsBlanks" priority="8">
      <formula>LEN(TRIM(C3))=0</formula>
    </cfRule>
  </conditionalFormatting>
  <conditionalFormatting sqref="C50">
    <cfRule type="containsBlanks" dxfId="16" priority="10">
      <formula>LEN(TRIM(C50))=0</formula>
    </cfRule>
  </conditionalFormatting>
  <conditionalFormatting sqref="C42 E42">
    <cfRule type="containsBlanks" dxfId="15" priority="14">
      <formula>LEN(TRIM(C42))=0</formula>
    </cfRule>
  </conditionalFormatting>
  <conditionalFormatting sqref="D42 D3:E41">
    <cfRule type="containsBlanks" dxfId="14" priority="17">
      <formula>LEN(TRIM(D3))=0</formula>
    </cfRule>
  </conditionalFormatting>
  <conditionalFormatting sqref="D43:E50">
    <cfRule type="containsBlanks" dxfId="13" priority="4">
      <formula>LEN(TRIM(D43))=0</formula>
    </cfRule>
  </conditionalFormatting>
  <conditionalFormatting sqref="C27">
    <cfRule type="containsBlanks" dxfId="12" priority="1">
      <formula>LEN(TRIM(C27))=0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M48"/>
  <sheetViews>
    <sheetView zoomScale="98" zoomScaleNormal="98" workbookViewId="0">
      <selection activeCell="X8" sqref="X8"/>
    </sheetView>
  </sheetViews>
  <sheetFormatPr defaultColWidth="9" defaultRowHeight="14.5"/>
  <cols>
    <col min="1" max="1" width="15.81640625" customWidth="1"/>
    <col min="2" max="2" width="6.453125" style="19" customWidth="1"/>
    <col min="3" max="3" width="6.26953125" style="19" customWidth="1"/>
    <col min="4" max="4" width="11.81640625" style="19" customWidth="1"/>
    <col min="5" max="5" width="4.54296875" style="19" customWidth="1"/>
    <col min="6" max="6" width="6.26953125" style="19" customWidth="1"/>
    <col min="7" max="7" width="2.7265625" style="19" customWidth="1"/>
    <col min="8" max="8" width="6.26953125" customWidth="1"/>
    <col min="9" max="9" width="5.81640625" customWidth="1"/>
    <col min="10" max="10" width="11.26953125" customWidth="1"/>
    <col min="11" max="11" width="4.453125" customWidth="1"/>
    <col min="12" max="12" width="7.1796875" customWidth="1"/>
    <col min="13" max="13" width="1.54296875" customWidth="1"/>
  </cols>
  <sheetData>
    <row r="1" spans="1:13" ht="13.5" customHeight="1">
      <c r="A1" s="179"/>
      <c r="B1" s="170" t="s">
        <v>281</v>
      </c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2"/>
    </row>
    <row r="2" spans="1:13" ht="14.5" customHeight="1">
      <c r="A2" s="180"/>
      <c r="B2" s="173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5"/>
    </row>
    <row r="3" spans="1:13" ht="14.5" customHeight="1">
      <c r="A3" s="181"/>
      <c r="B3" s="176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8"/>
    </row>
    <row r="4" spans="1:13" ht="24.75" customHeight="1">
      <c r="A4" s="56" t="s">
        <v>121</v>
      </c>
      <c r="B4" s="132" t="s">
        <v>153</v>
      </c>
      <c r="C4" s="133"/>
      <c r="D4" s="133"/>
      <c r="E4" s="133"/>
      <c r="F4" s="133"/>
      <c r="G4" s="133"/>
      <c r="H4" s="134"/>
      <c r="I4" s="138" t="s">
        <v>122</v>
      </c>
      <c r="J4" s="138"/>
      <c r="K4" s="182" t="s">
        <v>109</v>
      </c>
      <c r="L4" s="183"/>
      <c r="M4" s="184"/>
    </row>
    <row r="5" spans="1:13" ht="21.75" customHeight="1">
      <c r="A5" s="21" t="s">
        <v>124</v>
      </c>
      <c r="B5" s="135" t="s">
        <v>114</v>
      </c>
      <c r="C5" s="136"/>
      <c r="D5" s="136"/>
      <c r="E5" s="136"/>
      <c r="F5" s="136"/>
      <c r="G5" s="136"/>
      <c r="H5" s="137"/>
      <c r="I5" s="142" t="s">
        <v>123</v>
      </c>
      <c r="J5" s="142"/>
      <c r="K5" s="139"/>
      <c r="L5" s="140"/>
      <c r="M5" s="141"/>
    </row>
    <row r="6" spans="1:13" ht="15">
      <c r="A6" s="127" t="s">
        <v>120</v>
      </c>
      <c r="B6" s="127"/>
      <c r="C6" s="127"/>
      <c r="D6" s="127"/>
      <c r="E6" s="127"/>
      <c r="F6" s="127"/>
      <c r="G6" s="127"/>
      <c r="H6" s="127"/>
      <c r="I6" s="127"/>
      <c r="J6" s="127"/>
      <c r="K6" s="127"/>
      <c r="L6" s="127"/>
      <c r="M6" s="127"/>
    </row>
    <row r="7" spans="1:13" ht="15.65" customHeight="1">
      <c r="A7" s="22"/>
      <c r="B7" s="128" t="s">
        <v>102</v>
      </c>
      <c r="C7" s="129"/>
      <c r="D7" s="129"/>
      <c r="E7" s="47" t="s">
        <v>117</v>
      </c>
      <c r="F7" s="131" t="s">
        <v>101</v>
      </c>
      <c r="G7" s="131"/>
      <c r="H7" s="128" t="s">
        <v>103</v>
      </c>
      <c r="I7" s="129"/>
      <c r="J7" s="130"/>
      <c r="K7" s="47" t="s">
        <v>117</v>
      </c>
      <c r="L7" s="131" t="s">
        <v>101</v>
      </c>
      <c r="M7" s="131"/>
    </row>
    <row r="8" spans="1:13" ht="29.25" customHeight="1">
      <c r="A8" s="29" t="s">
        <v>0</v>
      </c>
      <c r="B8" s="31" t="str" cm="1">
        <f t="array" ref="B8:B15">'ใส่ข้อมูลตัวอย่าง ไม่ต้องปริ้น'!D3:D10</f>
        <v>26N120260601-1</v>
      </c>
      <c r="C8" s="30"/>
      <c r="D8" s="30"/>
      <c r="E8" s="48"/>
      <c r="F8" s="126">
        <f>'ใส่ข้อมูลตัวอย่าง ไม่ต้องปริ้น'!E3</f>
        <v>1</v>
      </c>
      <c r="G8" s="124"/>
      <c r="H8" s="31" t="str">
        <f>'ใส่ข้อมูลตัวอย่าง ไม่ต้องปริ้น'!D11</f>
        <v>26B260601008-1</v>
      </c>
      <c r="I8" s="30"/>
      <c r="J8" s="32"/>
      <c r="K8" s="51"/>
      <c r="L8" s="124">
        <f>'ใส่ข้อมูลตัวอย่าง ไม่ต้องปริ้น'!E11</f>
        <v>9</v>
      </c>
      <c r="M8" s="125"/>
    </row>
    <row r="9" spans="1:13" ht="29.25" customHeight="1">
      <c r="A9" s="29" t="s">
        <v>1</v>
      </c>
      <c r="B9" s="31" t="str">
        <v>26P260601001-1</v>
      </c>
      <c r="C9" s="30"/>
      <c r="D9" s="30"/>
      <c r="E9" s="48"/>
      <c r="F9" s="126">
        <f>'ใส่ข้อมูลตัวอย่าง ไม่ต้องปริ้น'!E4</f>
        <v>2</v>
      </c>
      <c r="G9" s="124"/>
      <c r="H9" s="31" t="str">
        <f>'ใส่ข้อมูลตัวอย่าง ไม่ต้องปริ้น'!D12</f>
        <v>26B260601009-1</v>
      </c>
      <c r="I9" s="30"/>
      <c r="J9" s="32"/>
      <c r="K9" s="51"/>
      <c r="L9" s="124">
        <f>'ใส่ข้อมูลตัวอย่าง ไม่ต้องปริ้น'!E12</f>
        <v>10</v>
      </c>
      <c r="M9" s="125"/>
    </row>
    <row r="10" spans="1:13" ht="29.25" customHeight="1">
      <c r="A10" s="29" t="s">
        <v>2</v>
      </c>
      <c r="B10" s="31" t="str">
        <v>26B260601002-1</v>
      </c>
      <c r="C10" s="30"/>
      <c r="D10" s="30"/>
      <c r="E10" s="48"/>
      <c r="F10" s="126">
        <f>'ใส่ข้อมูลตัวอย่าง ไม่ต้องปริ้น'!E5</f>
        <v>3</v>
      </c>
      <c r="G10" s="124"/>
      <c r="H10" s="31" t="str">
        <f>'ใส่ข้อมูลตัวอย่าง ไม่ต้องปริ้น'!D13</f>
        <v>26B260601010-1</v>
      </c>
      <c r="I10" s="30"/>
      <c r="J10" s="32"/>
      <c r="K10" s="51"/>
      <c r="L10" s="124">
        <f>'ใส่ข้อมูลตัวอย่าง ไม่ต้องปริ้น'!E13</f>
        <v>11</v>
      </c>
      <c r="M10" s="125"/>
    </row>
    <row r="11" spans="1:13" ht="29.25" customHeight="1">
      <c r="A11" s="29" t="s">
        <v>3</v>
      </c>
      <c r="B11" s="31" t="str">
        <v>26B260601003-1</v>
      </c>
      <c r="C11" s="30"/>
      <c r="D11" s="30"/>
      <c r="E11" s="48"/>
      <c r="F11" s="126">
        <f>'ใส่ข้อมูลตัวอย่าง ไม่ต้องปริ้น'!E6</f>
        <v>4</v>
      </c>
      <c r="G11" s="124"/>
      <c r="H11" s="31" t="str">
        <f>'ใส่ข้อมูลตัวอย่าง ไม่ต้องปริ้น'!D14</f>
        <v>26B260601011-1</v>
      </c>
      <c r="I11" s="30"/>
      <c r="J11" s="32"/>
      <c r="K11" s="51"/>
      <c r="L11" s="124">
        <f>'ใส่ข้อมูลตัวอย่าง ไม่ต้องปริ้น'!E14</f>
        <v>12</v>
      </c>
      <c r="M11" s="125"/>
    </row>
    <row r="12" spans="1:13" ht="29.25" customHeight="1">
      <c r="A12" s="29" t="s">
        <v>4</v>
      </c>
      <c r="B12" s="31" t="str">
        <v>26B260601004-1</v>
      </c>
      <c r="C12" s="30"/>
      <c r="D12" s="30"/>
      <c r="E12" s="48"/>
      <c r="F12" s="126">
        <f>'ใส่ข้อมูลตัวอย่าง ไม่ต้องปริ้น'!E7</f>
        <v>5</v>
      </c>
      <c r="G12" s="124"/>
      <c r="H12" s="31" t="str">
        <f>'ใส่ข้อมูลตัวอย่าง ไม่ต้องปริ้น'!D15</f>
        <v>26B260601012-1</v>
      </c>
      <c r="I12" s="30"/>
      <c r="J12" s="32"/>
      <c r="K12" s="51"/>
      <c r="L12" s="124">
        <f>'ใส่ข้อมูลตัวอย่าง ไม่ต้องปริ้น'!E15</f>
        <v>13</v>
      </c>
      <c r="M12" s="125"/>
    </row>
    <row r="13" spans="1:13" ht="29.25" customHeight="1">
      <c r="A13" s="29" t="s">
        <v>5</v>
      </c>
      <c r="B13" s="31" t="str">
        <v>26B260601005-1</v>
      </c>
      <c r="C13" s="30"/>
      <c r="D13" s="30"/>
      <c r="E13" s="48"/>
      <c r="F13" s="126">
        <f>'ใส่ข้อมูลตัวอย่าง ไม่ต้องปริ้น'!E8</f>
        <v>6</v>
      </c>
      <c r="G13" s="124"/>
      <c r="H13" s="31" t="str">
        <f>'ใส่ข้อมูลตัวอย่าง ไม่ต้องปริ้น'!D16</f>
        <v>26B260601013-1</v>
      </c>
      <c r="I13" s="30"/>
      <c r="J13" s="32"/>
      <c r="K13" s="51"/>
      <c r="L13" s="124">
        <f>'ใส่ข้อมูลตัวอย่าง ไม่ต้องปริ้น'!E16</f>
        <v>14</v>
      </c>
      <c r="M13" s="125"/>
    </row>
    <row r="14" spans="1:13" ht="29.25" customHeight="1">
      <c r="A14" s="29" t="s">
        <v>6</v>
      </c>
      <c r="B14" s="31" t="str">
        <v>26B260601006-1</v>
      </c>
      <c r="C14" s="30"/>
      <c r="D14" s="30"/>
      <c r="E14" s="48"/>
      <c r="F14" s="126">
        <f>'ใส่ข้อมูลตัวอย่าง ไม่ต้องปริ้น'!E9</f>
        <v>7</v>
      </c>
      <c r="G14" s="124"/>
      <c r="H14" s="31" t="str">
        <f>'ใส่ข้อมูลตัวอย่าง ไม่ต้องปริ้น'!D17</f>
        <v>26B260601014-1</v>
      </c>
      <c r="I14" s="30"/>
      <c r="J14" s="32"/>
      <c r="K14" s="51"/>
      <c r="L14" s="124">
        <f>'ใส่ข้อมูลตัวอย่าง ไม่ต้องปริ้น'!E17</f>
        <v>15</v>
      </c>
      <c r="M14" s="125"/>
    </row>
    <row r="15" spans="1:13" ht="29.25" customHeight="1">
      <c r="A15" s="29" t="s">
        <v>7</v>
      </c>
      <c r="B15" s="31" t="str">
        <v>26B260601007-1</v>
      </c>
      <c r="C15" s="30"/>
      <c r="D15" s="30"/>
      <c r="E15" s="48"/>
      <c r="F15" s="126">
        <f>'ใส่ข้อมูลตัวอย่าง ไม่ต้องปริ้น'!E10</f>
        <v>8</v>
      </c>
      <c r="G15" s="124"/>
      <c r="H15" s="31" t="str">
        <f>'ใส่ข้อมูลตัวอย่าง ไม่ต้องปริ้น'!D18</f>
        <v>26B260601015-1</v>
      </c>
      <c r="I15" s="30"/>
      <c r="J15" s="32"/>
      <c r="K15" s="51"/>
      <c r="L15" s="124">
        <f>'ใส่ข้อมูลตัวอย่าง ไม่ต้องปริ้น'!E18</f>
        <v>16</v>
      </c>
      <c r="M15" s="125"/>
    </row>
    <row r="16" spans="1:13" ht="28.9" customHeight="1">
      <c r="A16" s="44" t="s">
        <v>115</v>
      </c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</row>
    <row r="17" spans="1:13" ht="30" customHeight="1">
      <c r="A17" s="44" t="s">
        <v>116</v>
      </c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</row>
    <row r="18" spans="1:13" ht="22.15" customHeight="1">
      <c r="A18" s="146" t="s">
        <v>125</v>
      </c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</row>
    <row r="19" spans="1:13">
      <c r="A19" s="147" t="s">
        <v>126</v>
      </c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</row>
    <row r="20" spans="1:13" ht="21" customHeight="1">
      <c r="A20" s="143" t="s">
        <v>34</v>
      </c>
      <c r="B20" s="152" t="s">
        <v>145</v>
      </c>
      <c r="C20" s="148"/>
      <c r="D20" s="148"/>
      <c r="E20" s="148"/>
      <c r="F20" s="148"/>
      <c r="G20" s="148"/>
      <c r="H20" s="152" t="s">
        <v>139</v>
      </c>
      <c r="I20" s="148"/>
      <c r="J20" s="148"/>
      <c r="K20" s="148"/>
      <c r="L20" s="148"/>
      <c r="M20" s="148"/>
    </row>
    <row r="21" spans="1:13" ht="16.5" customHeight="1">
      <c r="A21" s="143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</row>
    <row r="22" spans="1:13" ht="19.149999999999999" customHeight="1">
      <c r="A22" s="143"/>
      <c r="B22" s="152" t="s">
        <v>146</v>
      </c>
      <c r="C22" s="148"/>
      <c r="D22" s="148"/>
      <c r="E22" s="148"/>
      <c r="F22" s="148"/>
      <c r="G22" s="148"/>
      <c r="H22" s="152" t="s">
        <v>140</v>
      </c>
      <c r="I22" s="148"/>
      <c r="J22" s="148"/>
      <c r="K22" s="148"/>
      <c r="L22" s="148"/>
      <c r="M22" s="148"/>
    </row>
    <row r="23" spans="1:13" ht="19.5" customHeight="1">
      <c r="A23" s="143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</row>
    <row r="24" spans="1:13" ht="19.5" customHeight="1">
      <c r="A24" s="143"/>
      <c r="B24" s="152" t="s">
        <v>147</v>
      </c>
      <c r="C24" s="148"/>
      <c r="D24" s="148"/>
      <c r="E24" s="148"/>
      <c r="F24" s="148"/>
      <c r="G24" s="148"/>
      <c r="H24" s="152" t="s">
        <v>136</v>
      </c>
      <c r="I24" s="148"/>
      <c r="J24" s="148"/>
      <c r="K24" s="148"/>
      <c r="L24" s="148"/>
      <c r="M24" s="148"/>
    </row>
    <row r="25" spans="1:13" ht="18.399999999999999" customHeight="1">
      <c r="A25" s="143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</row>
    <row r="26" spans="1:13" ht="13.9" customHeight="1">
      <c r="A26" s="143"/>
      <c r="B26" s="144" t="s">
        <v>127</v>
      </c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</row>
    <row r="27" spans="1:13" ht="13.9" customHeight="1">
      <c r="A27" s="143" t="s">
        <v>35</v>
      </c>
      <c r="B27" s="144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</row>
    <row r="28" spans="1:13" ht="122.65" customHeight="1">
      <c r="A28" s="143"/>
      <c r="B28" s="159" t="s">
        <v>128</v>
      </c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</row>
    <row r="29" spans="1:13" ht="28" customHeight="1">
      <c r="A29" s="143"/>
      <c r="B29" s="152" t="s">
        <v>129</v>
      </c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</row>
    <row r="30" spans="1:13">
      <c r="A30" s="143"/>
      <c r="B30" s="148" t="s">
        <v>130</v>
      </c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</row>
    <row r="31" spans="1:13">
      <c r="A31" s="143"/>
      <c r="B31" s="148" t="s">
        <v>131</v>
      </c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</row>
    <row r="32" spans="1:13">
      <c r="A32" s="143"/>
      <c r="B32" s="148" t="s">
        <v>132</v>
      </c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</row>
    <row r="33" spans="1:13" ht="26.65" customHeight="1">
      <c r="A33" s="149" t="s">
        <v>133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</row>
    <row r="34" spans="1:13" ht="26.65" customHeight="1">
      <c r="A34" s="150" t="s">
        <v>134</v>
      </c>
      <c r="B34" s="151"/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</row>
    <row r="35" spans="1:13" ht="26.65" customHeight="1">
      <c r="A35" s="146" t="s">
        <v>135</v>
      </c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</row>
    <row r="36" spans="1:13" ht="26.65" customHeight="1">
      <c r="A36" s="163" t="s">
        <v>34</v>
      </c>
      <c r="B36" s="160" t="s">
        <v>137</v>
      </c>
      <c r="C36" s="161"/>
      <c r="D36" s="161"/>
      <c r="E36" s="161"/>
      <c r="F36" s="161"/>
      <c r="G36" s="161"/>
      <c r="H36" s="161"/>
      <c r="I36" s="161"/>
      <c r="J36" s="161"/>
      <c r="K36" s="161"/>
      <c r="L36" s="161"/>
      <c r="M36" s="162"/>
    </row>
    <row r="37" spans="1:13" ht="16.149999999999999" customHeight="1">
      <c r="A37" s="164"/>
      <c r="B37" s="160" t="s">
        <v>141</v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6"/>
    </row>
    <row r="38" spans="1:13" ht="19.149999999999999" customHeight="1">
      <c r="A38" s="143" t="s">
        <v>38</v>
      </c>
      <c r="B38" s="152" t="s">
        <v>142</v>
      </c>
      <c r="C38" s="152"/>
      <c r="D38" s="152"/>
      <c r="E38" s="152"/>
      <c r="F38" s="152"/>
      <c r="G38" s="152"/>
      <c r="H38" s="152"/>
      <c r="I38" s="152"/>
      <c r="J38" s="152"/>
      <c r="K38" s="152"/>
      <c r="L38" s="152"/>
      <c r="M38" s="152"/>
    </row>
    <row r="39" spans="1:13" ht="9.4" customHeight="1">
      <c r="A39" s="143"/>
      <c r="B39" s="152"/>
      <c r="C39" s="152"/>
      <c r="D39" s="152"/>
      <c r="E39" s="152"/>
      <c r="F39" s="152"/>
      <c r="G39" s="152"/>
      <c r="H39" s="152"/>
      <c r="I39" s="152"/>
      <c r="J39" s="152"/>
      <c r="K39" s="152"/>
      <c r="L39" s="152"/>
      <c r="M39" s="152"/>
    </row>
    <row r="40" spans="1:13" ht="41.5" customHeight="1">
      <c r="A40" s="20" t="s">
        <v>37</v>
      </c>
      <c r="B40" s="152" t="s">
        <v>151</v>
      </c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</row>
    <row r="41" spans="1:13" ht="13.9" customHeight="1">
      <c r="A41" s="143" t="s">
        <v>35</v>
      </c>
      <c r="B41" s="159" t="s">
        <v>138</v>
      </c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</row>
    <row r="42" spans="1:13" ht="132" customHeight="1">
      <c r="A42" s="143"/>
      <c r="B42" s="159"/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59"/>
    </row>
    <row r="43" spans="1:13">
      <c r="A43" s="143" t="s">
        <v>36</v>
      </c>
      <c r="B43" s="148" t="s">
        <v>143</v>
      </c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</row>
    <row r="44" spans="1:13" ht="15" thickBot="1">
      <c r="A44" s="143"/>
      <c r="B44" s="158" t="s">
        <v>144</v>
      </c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</row>
    <row r="45" spans="1:13">
      <c r="A45" s="154"/>
      <c r="B45" s="155" t="s">
        <v>148</v>
      </c>
      <c r="C45" s="156"/>
      <c r="D45" s="156"/>
      <c r="E45" s="156"/>
      <c r="F45" s="156"/>
      <c r="G45" s="156"/>
      <c r="H45" s="156"/>
      <c r="I45" s="156"/>
      <c r="J45" s="156"/>
      <c r="K45" s="156"/>
      <c r="L45" s="156"/>
      <c r="M45" s="157"/>
    </row>
    <row r="46" spans="1:13" ht="15" thickBot="1">
      <c r="A46" s="57"/>
      <c r="B46" s="167" t="s">
        <v>149</v>
      </c>
      <c r="C46" s="168"/>
      <c r="D46" s="168"/>
      <c r="E46" s="168"/>
      <c r="F46" s="168"/>
      <c r="G46" s="168"/>
      <c r="H46" s="168"/>
      <c r="I46" s="168"/>
      <c r="J46" s="168"/>
      <c r="K46" s="168"/>
      <c r="L46" s="168"/>
      <c r="M46" s="169"/>
    </row>
    <row r="47" spans="1:13" ht="26.65" customHeight="1">
      <c r="A47" s="149" t="s">
        <v>201</v>
      </c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</row>
    <row r="48" spans="1:13" ht="26.65" customHeight="1">
      <c r="A48" s="150" t="s">
        <v>150</v>
      </c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</row>
  </sheetData>
  <mergeCells count="67">
    <mergeCell ref="B36:M36"/>
    <mergeCell ref="A36:A37"/>
    <mergeCell ref="B37:M37"/>
    <mergeCell ref="B46:M46"/>
    <mergeCell ref="B1:M3"/>
    <mergeCell ref="A1:A3"/>
    <mergeCell ref="K4:M4"/>
    <mergeCell ref="B20:G21"/>
    <mergeCell ref="H20:M21"/>
    <mergeCell ref="B22:G23"/>
    <mergeCell ref="B27:M27"/>
    <mergeCell ref="B28:M28"/>
    <mergeCell ref="H24:M25"/>
    <mergeCell ref="H22:M23"/>
    <mergeCell ref="B24:G25"/>
    <mergeCell ref="B31:M31"/>
    <mergeCell ref="A47:M47"/>
    <mergeCell ref="A48:M48"/>
    <mergeCell ref="B38:M39"/>
    <mergeCell ref="A38:A39"/>
    <mergeCell ref="A43:A45"/>
    <mergeCell ref="B45:M45"/>
    <mergeCell ref="A41:A42"/>
    <mergeCell ref="B44:M44"/>
    <mergeCell ref="B41:M42"/>
    <mergeCell ref="B43:M43"/>
    <mergeCell ref="B40:M40"/>
    <mergeCell ref="B32:M32"/>
    <mergeCell ref="A33:M33"/>
    <mergeCell ref="A35:M35"/>
    <mergeCell ref="A34:M34"/>
    <mergeCell ref="B29:M29"/>
    <mergeCell ref="B30:M30"/>
    <mergeCell ref="A29:A32"/>
    <mergeCell ref="A20:A26"/>
    <mergeCell ref="B26:M26"/>
    <mergeCell ref="A27:A28"/>
    <mergeCell ref="B16:M16"/>
    <mergeCell ref="B17:M17"/>
    <mergeCell ref="A18:M18"/>
    <mergeCell ref="A19:M19"/>
    <mergeCell ref="B4:H4"/>
    <mergeCell ref="B5:H5"/>
    <mergeCell ref="I4:J4"/>
    <mergeCell ref="K5:M5"/>
    <mergeCell ref="I5:J5"/>
    <mergeCell ref="A6:M6"/>
    <mergeCell ref="B7:D7"/>
    <mergeCell ref="H7:J7"/>
    <mergeCell ref="F7:G7"/>
    <mergeCell ref="L7:M7"/>
    <mergeCell ref="L13:M13"/>
    <mergeCell ref="L14:M14"/>
    <mergeCell ref="L15:M15"/>
    <mergeCell ref="F8:G8"/>
    <mergeCell ref="F9:G9"/>
    <mergeCell ref="F10:G10"/>
    <mergeCell ref="F11:G11"/>
    <mergeCell ref="F12:G12"/>
    <mergeCell ref="F13:G13"/>
    <mergeCell ref="F14:G14"/>
    <mergeCell ref="F15:G15"/>
    <mergeCell ref="L8:M8"/>
    <mergeCell ref="L9:M9"/>
    <mergeCell ref="L10:M10"/>
    <mergeCell ref="L11:M11"/>
    <mergeCell ref="L12:M12"/>
  </mergeCells>
  <phoneticPr fontId="61" type="noConversion"/>
  <conditionalFormatting sqref="B8:F15 H8:L15">
    <cfRule type="duplicateValues" dxfId="11" priority="22"/>
  </conditionalFormatting>
  <pageMargins left="0.69930555555555596" right="0.69930555555555596" top="0.75" bottom="0.75" header="0.3" footer="0.3"/>
  <pageSetup paperSize="9" scale="97" fitToHeight="0" orientation="portrait" r:id="rId1"/>
  <rowBreaks count="1" manualBreakCount="1">
    <brk id="26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F791-4BC5-4583-881F-F9CB2104B47C}">
  <sheetPr codeName="Sheet5">
    <pageSetUpPr fitToPage="1"/>
  </sheetPr>
  <dimension ref="A1:M48"/>
  <sheetViews>
    <sheetView zoomScale="98" zoomScaleNormal="98" workbookViewId="0">
      <selection activeCell="A47" sqref="A47:M47"/>
    </sheetView>
  </sheetViews>
  <sheetFormatPr defaultColWidth="9" defaultRowHeight="14.5"/>
  <cols>
    <col min="1" max="1" width="15.81640625" customWidth="1"/>
    <col min="2" max="2" width="6.453125" style="19" customWidth="1"/>
    <col min="3" max="3" width="6.26953125" style="19" customWidth="1"/>
    <col min="4" max="4" width="11.7265625" style="19" customWidth="1"/>
    <col min="5" max="5" width="4.7265625" style="19" customWidth="1"/>
    <col min="6" max="6" width="6.26953125" style="19" customWidth="1"/>
    <col min="7" max="7" width="2.7265625" style="19" customWidth="1"/>
    <col min="8" max="8" width="6.26953125" customWidth="1"/>
    <col min="9" max="9" width="5.81640625" customWidth="1"/>
    <col min="10" max="10" width="11.26953125" customWidth="1"/>
    <col min="11" max="11" width="4.54296875" customWidth="1"/>
    <col min="12" max="12" width="7.1796875" customWidth="1"/>
    <col min="13" max="13" width="2.26953125" customWidth="1"/>
  </cols>
  <sheetData>
    <row r="1" spans="1:13" ht="13.5" customHeight="1">
      <c r="A1" s="179"/>
      <c r="B1" s="170" t="s">
        <v>281</v>
      </c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2"/>
    </row>
    <row r="2" spans="1:13" ht="14.5" customHeight="1">
      <c r="A2" s="180"/>
      <c r="B2" s="173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5"/>
    </row>
    <row r="3" spans="1:13" ht="14.5" customHeight="1">
      <c r="A3" s="181"/>
      <c r="B3" s="176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8"/>
    </row>
    <row r="4" spans="1:13" ht="24.75" customHeight="1">
      <c r="A4" s="56" t="s">
        <v>121</v>
      </c>
      <c r="B4" s="132" t="s">
        <v>153</v>
      </c>
      <c r="C4" s="133"/>
      <c r="D4" s="133"/>
      <c r="E4" s="133"/>
      <c r="F4" s="133"/>
      <c r="G4" s="133"/>
      <c r="H4" s="134"/>
      <c r="I4" s="138" t="s">
        <v>122</v>
      </c>
      <c r="J4" s="138"/>
      <c r="K4" s="182" t="s">
        <v>109</v>
      </c>
      <c r="L4" s="183"/>
      <c r="M4" s="184"/>
    </row>
    <row r="5" spans="1:13" ht="21.75" customHeight="1">
      <c r="A5" s="21" t="s">
        <v>124</v>
      </c>
      <c r="B5" s="135" t="s">
        <v>114</v>
      </c>
      <c r="C5" s="136"/>
      <c r="D5" s="136"/>
      <c r="E5" s="136"/>
      <c r="F5" s="136"/>
      <c r="G5" s="136"/>
      <c r="H5" s="137"/>
      <c r="I5" s="142" t="s">
        <v>123</v>
      </c>
      <c r="J5" s="142"/>
      <c r="K5" s="139"/>
      <c r="L5" s="140"/>
      <c r="M5" s="141"/>
    </row>
    <row r="6" spans="1:13" ht="15">
      <c r="A6" s="127" t="s">
        <v>14</v>
      </c>
      <c r="B6" s="127"/>
      <c r="C6" s="127"/>
      <c r="D6" s="127"/>
      <c r="E6" s="127"/>
      <c r="F6" s="127"/>
      <c r="G6" s="127"/>
      <c r="H6" s="127"/>
      <c r="I6" s="127"/>
      <c r="J6" s="127"/>
      <c r="K6" s="127"/>
      <c r="L6" s="127"/>
      <c r="M6" s="127"/>
    </row>
    <row r="7" spans="1:13" ht="15.65" customHeight="1">
      <c r="A7" s="22"/>
      <c r="B7" s="128" t="s">
        <v>104</v>
      </c>
      <c r="C7" s="129"/>
      <c r="D7" s="130"/>
      <c r="E7" s="47" t="s">
        <v>117</v>
      </c>
      <c r="F7" s="186" t="s">
        <v>101</v>
      </c>
      <c r="G7" s="186"/>
      <c r="H7" s="128" t="s">
        <v>105</v>
      </c>
      <c r="I7" s="129"/>
      <c r="J7" s="130"/>
      <c r="K7" s="47" t="s">
        <v>117</v>
      </c>
      <c r="L7" s="131" t="s">
        <v>101</v>
      </c>
      <c r="M7" s="131"/>
    </row>
    <row r="8" spans="1:13" ht="29.25" customHeight="1">
      <c r="A8" s="29" t="s">
        <v>0</v>
      </c>
      <c r="B8" s="31" t="str">
        <f>'ใส่ข้อมูลตัวอย่าง ไม่ต้องปริ้น'!D19</f>
        <v>26B260601016-1</v>
      </c>
      <c r="C8" s="30"/>
      <c r="D8" s="30"/>
      <c r="E8" s="48"/>
      <c r="F8" s="126">
        <f>'ใส่ข้อมูลตัวอย่าง ไม่ต้องปริ้น'!E19</f>
        <v>17</v>
      </c>
      <c r="G8" s="124"/>
      <c r="H8" s="31" t="str">
        <f>'ใส่ข้อมูลตัวอย่าง ไม่ต้องปริ้น'!D27</f>
        <v>26N220260601-1</v>
      </c>
      <c r="I8" s="30"/>
      <c r="J8" s="30"/>
      <c r="K8" s="48"/>
      <c r="L8" s="126">
        <f>'ใส่ข้อมูลตัวอย่าง ไม่ต้องปริ้น'!E27</f>
        <v>25</v>
      </c>
      <c r="M8" s="125"/>
    </row>
    <row r="9" spans="1:13" ht="29.25" customHeight="1">
      <c r="A9" s="29" t="s">
        <v>1</v>
      </c>
      <c r="B9" s="31" t="str">
        <f>'ใส่ข้อมูลตัวอย่าง ไม่ต้องปริ้น'!D20</f>
        <v>26B260601017-1</v>
      </c>
      <c r="C9" s="30"/>
      <c r="D9" s="30"/>
      <c r="E9" s="48"/>
      <c r="F9" s="126">
        <f>'ใส่ข้อมูลตัวอย่าง ไม่ต้องปริ้น'!E20</f>
        <v>18</v>
      </c>
      <c r="G9" s="124"/>
      <c r="H9" s="31" t="str">
        <f>'ใส่ข้อมูลตัวอย่าง ไม่ต้องปริ้น'!D28</f>
        <v>26P260601024-1</v>
      </c>
      <c r="I9" s="30"/>
      <c r="J9" s="30"/>
      <c r="K9" s="48"/>
      <c r="L9" s="126">
        <f>'ใส่ข้อมูลตัวอย่าง ไม่ต้องปริ้น'!E28</f>
        <v>26</v>
      </c>
      <c r="M9" s="125"/>
    </row>
    <row r="10" spans="1:13" ht="29.25" customHeight="1">
      <c r="A10" s="29" t="s">
        <v>2</v>
      </c>
      <c r="B10" s="31" t="str">
        <f>'ใส่ข้อมูลตัวอย่าง ไม่ต้องปริ้น'!D21</f>
        <v>26B260601018-1</v>
      </c>
      <c r="C10" s="30"/>
      <c r="D10" s="30"/>
      <c r="E10" s="48"/>
      <c r="F10" s="126">
        <f>'ใส่ข้อมูลตัวอย่าง ไม่ต้องปริ้น'!E21</f>
        <v>19</v>
      </c>
      <c r="G10" s="124"/>
      <c r="H10" s="31" t="str">
        <f>'ใส่ข้อมูลตัวอย่าง ไม่ต้องปริ้น'!D29</f>
        <v>26P260601025-1</v>
      </c>
      <c r="I10" s="30"/>
      <c r="J10" s="30"/>
      <c r="K10" s="48"/>
      <c r="L10" s="126">
        <f>'ใส่ข้อมูลตัวอย่าง ไม่ต้องปริ้น'!E29</f>
        <v>27</v>
      </c>
      <c r="M10" s="125"/>
    </row>
    <row r="11" spans="1:13" ht="29.25" customHeight="1">
      <c r="A11" s="29" t="s">
        <v>3</v>
      </c>
      <c r="B11" s="31" t="str">
        <f>'ใส่ข้อมูลตัวอย่าง ไม่ต้องปริ้น'!D22</f>
        <v>26B260601019-1</v>
      </c>
      <c r="C11" s="30"/>
      <c r="D11" s="30"/>
      <c r="E11" s="48"/>
      <c r="F11" s="126">
        <f>'ใส่ข้อมูลตัวอย่าง ไม่ต้องปริ้น'!E22</f>
        <v>20</v>
      </c>
      <c r="G11" s="124"/>
      <c r="H11" s="31" t="str">
        <f>'ใส่ข้อมูลตัวอย่าง ไม่ต้องปริ้น'!D30</f>
        <v>26P260601026-1</v>
      </c>
      <c r="I11" s="30"/>
      <c r="J11" s="30"/>
      <c r="K11" s="48"/>
      <c r="L11" s="126">
        <f>'ใส่ข้อมูลตัวอย่าง ไม่ต้องปริ้น'!E30</f>
        <v>28</v>
      </c>
      <c r="M11" s="125"/>
    </row>
    <row r="12" spans="1:13" ht="29.25" customHeight="1">
      <c r="A12" s="29" t="s">
        <v>4</v>
      </c>
      <c r="B12" s="31" t="str">
        <f>'ใส่ข้อมูลตัวอย่าง ไม่ต้องปริ้น'!D23</f>
        <v>26B260601020-1</v>
      </c>
      <c r="C12" s="30"/>
      <c r="D12" s="30"/>
      <c r="E12" s="48"/>
      <c r="F12" s="126">
        <f>'ใส่ข้อมูลตัวอย่าง ไม่ต้องปริ้น'!E23</f>
        <v>21</v>
      </c>
      <c r="G12" s="124"/>
      <c r="H12" s="31" t="str">
        <f>'ใส่ข้อมูลตัวอย่าง ไม่ต้องปริ้น'!D31</f>
        <v>26P260601027-1</v>
      </c>
      <c r="I12" s="30"/>
      <c r="J12" s="30"/>
      <c r="K12" s="48"/>
      <c r="L12" s="126">
        <f>'ใส่ข้อมูลตัวอย่าง ไม่ต้องปริ้น'!E31</f>
        <v>29</v>
      </c>
      <c r="M12" s="125"/>
    </row>
    <row r="13" spans="1:13" ht="29.25" customHeight="1">
      <c r="A13" s="29" t="s">
        <v>5</v>
      </c>
      <c r="B13" s="31" t="str">
        <f>'ใส่ข้อมูลตัวอย่าง ไม่ต้องปริ้น'!D24</f>
        <v>26B260601021-1</v>
      </c>
      <c r="C13" s="30"/>
      <c r="D13" s="30"/>
      <c r="E13" s="48"/>
      <c r="F13" s="126">
        <f>'ใส่ข้อมูลตัวอย่าง ไม่ต้องปริ้น'!E24</f>
        <v>22</v>
      </c>
      <c r="G13" s="124"/>
      <c r="H13" s="31" t="str">
        <f>'ใส่ข้อมูลตัวอย่าง ไม่ต้องปริ้น'!D32</f>
        <v>26P260601028-1</v>
      </c>
      <c r="I13" s="30"/>
      <c r="J13" s="30"/>
      <c r="K13" s="48"/>
      <c r="L13" s="126">
        <f>'ใส่ข้อมูลตัวอย่าง ไม่ต้องปริ้น'!E32</f>
        <v>30</v>
      </c>
      <c r="M13" s="125"/>
    </row>
    <row r="14" spans="1:13" ht="29.25" customHeight="1">
      <c r="A14" s="29" t="s">
        <v>6</v>
      </c>
      <c r="B14" s="31" t="str">
        <f>'ใส่ข้อมูลตัวอย่าง ไม่ต้องปริ้น'!D25</f>
        <v>26B260601022-1</v>
      </c>
      <c r="C14" s="30"/>
      <c r="D14" s="30"/>
      <c r="E14" s="48"/>
      <c r="F14" s="126">
        <f>'ใส่ข้อมูลตัวอย่าง ไม่ต้องปริ้น'!E25</f>
        <v>23</v>
      </c>
      <c r="G14" s="124"/>
      <c r="H14" s="31" t="str">
        <f>'ใส่ข้อมูลตัวอย่าง ไม่ต้องปริ้น'!D33</f>
        <v>26P260601029-1</v>
      </c>
      <c r="I14" s="30"/>
      <c r="J14" s="30"/>
      <c r="K14" s="48"/>
      <c r="L14" s="126">
        <f>'ใส่ข้อมูลตัวอย่าง ไม่ต้องปริ้น'!E33</f>
        <v>31</v>
      </c>
      <c r="M14" s="125"/>
    </row>
    <row r="15" spans="1:13" ht="29.25" customHeight="1">
      <c r="A15" s="29" t="s">
        <v>7</v>
      </c>
      <c r="B15" s="31" t="str">
        <f>'ใส่ข้อมูลตัวอย่าง ไม่ต้องปริ้น'!D26</f>
        <v>26B260601023-1</v>
      </c>
      <c r="C15" s="30"/>
      <c r="D15" s="30"/>
      <c r="E15" s="48"/>
      <c r="F15" s="126">
        <f>'ใส่ข้อมูลตัวอย่าง ไม่ต้องปริ้น'!E26</f>
        <v>24</v>
      </c>
      <c r="G15" s="124"/>
      <c r="H15" s="31" t="str">
        <f>'ใส่ข้อมูลตัวอย่าง ไม่ต้องปริ้น'!D34</f>
        <v>26P260601030-1</v>
      </c>
      <c r="I15" s="30"/>
      <c r="J15" s="30"/>
      <c r="K15" s="48"/>
      <c r="L15" s="126">
        <f>'ใส่ข้อมูลตัวอย่าง ไม่ต้องปริ้น'!E34</f>
        <v>32</v>
      </c>
      <c r="M15" s="125"/>
    </row>
    <row r="16" spans="1:13" ht="28.9" customHeight="1">
      <c r="A16" s="20" t="s">
        <v>115</v>
      </c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</row>
    <row r="17" spans="1:13" ht="27.4" customHeight="1">
      <c r="A17" s="20" t="s">
        <v>116</v>
      </c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</row>
    <row r="18" spans="1:13" ht="22.15" customHeight="1">
      <c r="A18" s="146" t="s">
        <v>125</v>
      </c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</row>
    <row r="19" spans="1:13" ht="14.5" customHeight="1">
      <c r="A19" s="147" t="s">
        <v>126</v>
      </c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</row>
    <row r="20" spans="1:13" ht="21" customHeight="1">
      <c r="A20" s="143" t="s">
        <v>34</v>
      </c>
      <c r="B20" s="152" t="s">
        <v>145</v>
      </c>
      <c r="C20" s="148"/>
      <c r="D20" s="148"/>
      <c r="E20" s="148"/>
      <c r="F20" s="148"/>
      <c r="G20" s="148"/>
      <c r="H20" s="152" t="s">
        <v>139</v>
      </c>
      <c r="I20" s="148"/>
      <c r="J20" s="148"/>
      <c r="K20" s="148"/>
      <c r="L20" s="148"/>
      <c r="M20" s="148"/>
    </row>
    <row r="21" spans="1:13" ht="16.5" customHeight="1">
      <c r="A21" s="143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</row>
    <row r="22" spans="1:13" ht="19.149999999999999" customHeight="1">
      <c r="A22" s="143"/>
      <c r="B22" s="152" t="s">
        <v>146</v>
      </c>
      <c r="C22" s="148"/>
      <c r="D22" s="148"/>
      <c r="E22" s="148"/>
      <c r="F22" s="148"/>
      <c r="G22" s="148"/>
      <c r="H22" s="152" t="s">
        <v>140</v>
      </c>
      <c r="I22" s="148"/>
      <c r="J22" s="148"/>
      <c r="K22" s="148"/>
      <c r="L22" s="148"/>
      <c r="M22" s="148"/>
    </row>
    <row r="23" spans="1:13" ht="19.5" customHeight="1">
      <c r="A23" s="143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</row>
    <row r="24" spans="1:13" ht="19.5" customHeight="1">
      <c r="A24" s="143"/>
      <c r="B24" s="152" t="s">
        <v>147</v>
      </c>
      <c r="C24" s="148"/>
      <c r="D24" s="148"/>
      <c r="E24" s="148"/>
      <c r="F24" s="148"/>
      <c r="G24" s="148"/>
      <c r="H24" s="152" t="s">
        <v>136</v>
      </c>
      <c r="I24" s="148"/>
      <c r="J24" s="148"/>
      <c r="K24" s="148"/>
      <c r="L24" s="148"/>
      <c r="M24" s="148"/>
    </row>
    <row r="25" spans="1:13" ht="18.399999999999999" customHeight="1">
      <c r="A25" s="143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</row>
    <row r="26" spans="1:13" ht="13.9" customHeight="1">
      <c r="A26" s="143"/>
      <c r="B26" s="144" t="s">
        <v>127</v>
      </c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</row>
    <row r="27" spans="1:13" ht="13.9" customHeight="1">
      <c r="A27" s="143" t="s">
        <v>35</v>
      </c>
      <c r="B27" s="144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</row>
    <row r="28" spans="1:13" ht="122.65" customHeight="1">
      <c r="A28" s="143"/>
      <c r="B28" s="159" t="s">
        <v>128</v>
      </c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</row>
    <row r="29" spans="1:13" ht="28" customHeight="1">
      <c r="A29" s="143"/>
      <c r="B29" s="152" t="s">
        <v>129</v>
      </c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</row>
    <row r="30" spans="1:13">
      <c r="A30" s="143"/>
      <c r="B30" s="148" t="s">
        <v>130</v>
      </c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</row>
    <row r="31" spans="1:13">
      <c r="A31" s="143"/>
      <c r="B31" s="148" t="s">
        <v>131</v>
      </c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</row>
    <row r="32" spans="1:13">
      <c r="A32" s="143"/>
      <c r="B32" s="148" t="s">
        <v>132</v>
      </c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</row>
    <row r="33" spans="1:13" ht="26.65" customHeight="1">
      <c r="A33" s="149" t="s">
        <v>133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</row>
    <row r="34" spans="1:13" ht="26.65" customHeight="1">
      <c r="A34" s="150" t="s">
        <v>134</v>
      </c>
      <c r="B34" s="151"/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</row>
    <row r="35" spans="1:13" ht="26.65" customHeight="1">
      <c r="A35" s="146" t="s">
        <v>135</v>
      </c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</row>
    <row r="36" spans="1:13" ht="51.4" customHeight="1">
      <c r="A36" s="163" t="s">
        <v>34</v>
      </c>
      <c r="B36" s="160" t="s">
        <v>137</v>
      </c>
      <c r="C36" s="161"/>
      <c r="D36" s="161"/>
      <c r="E36" s="161"/>
      <c r="F36" s="161"/>
      <c r="G36" s="161"/>
      <c r="H36" s="161"/>
      <c r="I36" s="161"/>
      <c r="J36" s="161"/>
      <c r="K36" s="161"/>
      <c r="L36" s="161"/>
      <c r="M36" s="162"/>
    </row>
    <row r="37" spans="1:13" ht="19.149999999999999" customHeight="1">
      <c r="A37" s="164"/>
      <c r="B37" s="160" t="s">
        <v>141</v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6"/>
    </row>
    <row r="38" spans="1:13" ht="9.4" customHeight="1">
      <c r="A38" s="143" t="s">
        <v>38</v>
      </c>
      <c r="B38" s="152" t="s">
        <v>142</v>
      </c>
      <c r="C38" s="152"/>
      <c r="D38" s="152"/>
      <c r="E38" s="152"/>
      <c r="F38" s="152"/>
      <c r="G38" s="152"/>
      <c r="H38" s="152"/>
      <c r="I38" s="152"/>
      <c r="J38" s="152"/>
      <c r="K38" s="152"/>
      <c r="L38" s="152"/>
      <c r="M38" s="152"/>
    </row>
    <row r="39" spans="1:13" ht="13.9" customHeight="1">
      <c r="A39" s="143"/>
      <c r="B39" s="152"/>
      <c r="C39" s="152"/>
      <c r="D39" s="152"/>
      <c r="E39" s="152"/>
      <c r="F39" s="152"/>
      <c r="G39" s="152"/>
      <c r="H39" s="152"/>
      <c r="I39" s="152"/>
      <c r="J39" s="152"/>
      <c r="K39" s="152"/>
      <c r="L39" s="152"/>
      <c r="M39" s="152"/>
    </row>
    <row r="40" spans="1:13" ht="43.9" customHeight="1">
      <c r="A40" s="20" t="s">
        <v>37</v>
      </c>
      <c r="B40" s="152" t="s">
        <v>151</v>
      </c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</row>
    <row r="41" spans="1:13" ht="15" customHeight="1">
      <c r="A41" s="143" t="s">
        <v>35</v>
      </c>
      <c r="B41" s="159" t="s">
        <v>138</v>
      </c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</row>
    <row r="42" spans="1:13" ht="135.65" customHeight="1">
      <c r="A42" s="143"/>
      <c r="B42" s="159"/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59"/>
    </row>
    <row r="43" spans="1:13">
      <c r="A43" s="143" t="s">
        <v>36</v>
      </c>
      <c r="B43" s="148" t="s">
        <v>143</v>
      </c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</row>
    <row r="44" spans="1:13" ht="15" thickBot="1">
      <c r="A44" s="143"/>
      <c r="B44" s="158" t="s">
        <v>144</v>
      </c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</row>
    <row r="45" spans="1:13">
      <c r="A45" s="154"/>
      <c r="B45" s="155" t="s">
        <v>148</v>
      </c>
      <c r="C45" s="156"/>
      <c r="D45" s="156"/>
      <c r="E45" s="156"/>
      <c r="F45" s="156"/>
      <c r="G45" s="156"/>
      <c r="H45" s="156"/>
      <c r="I45" s="156"/>
      <c r="J45" s="156"/>
      <c r="K45" s="156"/>
      <c r="L45" s="156"/>
      <c r="M45" s="157"/>
    </row>
    <row r="46" spans="1:13" ht="26.65" customHeight="1" thickBot="1">
      <c r="A46" s="57"/>
      <c r="B46" s="167" t="s">
        <v>149</v>
      </c>
      <c r="C46" s="168"/>
      <c r="D46" s="168"/>
      <c r="E46" s="168"/>
      <c r="F46" s="168"/>
      <c r="G46" s="168"/>
      <c r="H46" s="168"/>
      <c r="I46" s="168"/>
      <c r="J46" s="168"/>
      <c r="K46" s="168"/>
      <c r="L46" s="168"/>
      <c r="M46" s="169"/>
    </row>
    <row r="47" spans="1:13" ht="26.65" customHeight="1">
      <c r="A47" s="149" t="s">
        <v>201</v>
      </c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</row>
    <row r="48" spans="1:13" ht="14.5" customHeight="1">
      <c r="A48" s="150" t="s">
        <v>150</v>
      </c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</row>
  </sheetData>
  <mergeCells count="67">
    <mergeCell ref="B46:M46"/>
    <mergeCell ref="A48:M48"/>
    <mergeCell ref="B1:M3"/>
    <mergeCell ref="A1:A3"/>
    <mergeCell ref="K4:M4"/>
    <mergeCell ref="K5:M5"/>
    <mergeCell ref="A36:A37"/>
    <mergeCell ref="B37:M37"/>
    <mergeCell ref="B4:H4"/>
    <mergeCell ref="B5:H5"/>
    <mergeCell ref="B7:D7"/>
    <mergeCell ref="H7:J7"/>
    <mergeCell ref="A47:M47"/>
    <mergeCell ref="B40:M40"/>
    <mergeCell ref="B41:M42"/>
    <mergeCell ref="B43:M43"/>
    <mergeCell ref="B44:M44"/>
    <mergeCell ref="B45:M45"/>
    <mergeCell ref="A38:A39"/>
    <mergeCell ref="B38:M39"/>
    <mergeCell ref="A41:A42"/>
    <mergeCell ref="A43:A45"/>
    <mergeCell ref="B32:M32"/>
    <mergeCell ref="A34:M34"/>
    <mergeCell ref="A35:M35"/>
    <mergeCell ref="B36:M36"/>
    <mergeCell ref="A33:M33"/>
    <mergeCell ref="A29:A32"/>
    <mergeCell ref="B29:M29"/>
    <mergeCell ref="B30:M30"/>
    <mergeCell ref="B31:M31"/>
    <mergeCell ref="B24:G25"/>
    <mergeCell ref="H24:M25"/>
    <mergeCell ref="B26:M26"/>
    <mergeCell ref="A27:A28"/>
    <mergeCell ref="B27:M27"/>
    <mergeCell ref="B28:M28"/>
    <mergeCell ref="A20:A26"/>
    <mergeCell ref="B20:G21"/>
    <mergeCell ref="H20:M21"/>
    <mergeCell ref="B22:G23"/>
    <mergeCell ref="H22:M23"/>
    <mergeCell ref="B16:M16"/>
    <mergeCell ref="B17:M17"/>
    <mergeCell ref="A18:M18"/>
    <mergeCell ref="A19:M19"/>
    <mergeCell ref="I4:J4"/>
    <mergeCell ref="I5:J5"/>
    <mergeCell ref="A6:M6"/>
    <mergeCell ref="F7:G7"/>
    <mergeCell ref="L7:M7"/>
    <mergeCell ref="F8:G8"/>
    <mergeCell ref="F14:G14"/>
    <mergeCell ref="F15:G15"/>
    <mergeCell ref="L8:M8"/>
    <mergeCell ref="L9:M9"/>
    <mergeCell ref="L10:M10"/>
    <mergeCell ref="L11:M11"/>
    <mergeCell ref="L12:M12"/>
    <mergeCell ref="L13:M13"/>
    <mergeCell ref="L14:M14"/>
    <mergeCell ref="L15:M15"/>
    <mergeCell ref="F9:G9"/>
    <mergeCell ref="F10:G10"/>
    <mergeCell ref="F11:G11"/>
    <mergeCell ref="F12:G12"/>
    <mergeCell ref="F13:G13"/>
  </mergeCells>
  <conditionalFormatting sqref="B8:D8 B9:E15 H8:K15">
    <cfRule type="duplicateValues" dxfId="10" priority="5"/>
  </conditionalFormatting>
  <conditionalFormatting sqref="E8">
    <cfRule type="duplicateValues" dxfId="9" priority="3"/>
  </conditionalFormatting>
  <conditionalFormatting sqref="F8:F15">
    <cfRule type="duplicateValues" dxfId="8" priority="2"/>
  </conditionalFormatting>
  <conditionalFormatting sqref="L8:L15">
    <cfRule type="duplicateValues" dxfId="7" priority="1"/>
  </conditionalFormatting>
  <pageMargins left="0.69930555555555596" right="0.69930555555555596" top="0.75" bottom="0.75" header="0.3" footer="0.3"/>
  <pageSetup paperSize="9" scale="96" fitToHeight="0" orientation="portrait" r:id="rId1"/>
  <rowBreaks count="1" manualBreakCount="1">
    <brk id="26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2D1FB-A78F-438C-A4E6-A468B4E7A67E}">
  <sheetPr codeName="Sheet6">
    <pageSetUpPr fitToPage="1"/>
  </sheetPr>
  <dimension ref="A1:M49"/>
  <sheetViews>
    <sheetView zoomScale="102" zoomScaleNormal="102" workbookViewId="0">
      <selection activeCell="Q11" sqref="Q11"/>
    </sheetView>
  </sheetViews>
  <sheetFormatPr defaultColWidth="9" defaultRowHeight="14.5"/>
  <cols>
    <col min="1" max="1" width="15.81640625" customWidth="1"/>
    <col min="2" max="2" width="6.453125" style="19" customWidth="1"/>
    <col min="3" max="3" width="6.26953125" style="19" customWidth="1"/>
    <col min="4" max="4" width="10.7265625" style="19" customWidth="1"/>
    <col min="5" max="5" width="4.54296875" style="19" customWidth="1"/>
    <col min="6" max="6" width="7.1796875" style="19" customWidth="1"/>
    <col min="7" max="7" width="1.7265625" style="19" customWidth="1"/>
    <col min="8" max="8" width="6.26953125" customWidth="1"/>
    <col min="9" max="9" width="5.81640625" customWidth="1"/>
    <col min="10" max="10" width="9.54296875" customWidth="1"/>
    <col min="11" max="11" width="4.7265625" customWidth="1"/>
    <col min="12" max="12" width="7.1796875" customWidth="1"/>
    <col min="13" max="13" width="1.7265625" customWidth="1"/>
  </cols>
  <sheetData>
    <row r="1" spans="1:13" ht="13.5" customHeight="1">
      <c r="A1" s="188"/>
      <c r="B1" s="170" t="s">
        <v>281</v>
      </c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2"/>
    </row>
    <row r="2" spans="1:13" ht="14.5" customHeight="1">
      <c r="A2" s="189"/>
      <c r="B2" s="173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5"/>
    </row>
    <row r="3" spans="1:13" ht="14.5" customHeight="1">
      <c r="A3" s="190"/>
      <c r="B3" s="176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8"/>
    </row>
    <row r="4" spans="1:13" ht="24.75" customHeight="1">
      <c r="A4" s="56" t="s">
        <v>121</v>
      </c>
      <c r="B4" s="132" t="s">
        <v>153</v>
      </c>
      <c r="C4" s="133"/>
      <c r="D4" s="133"/>
      <c r="E4" s="133"/>
      <c r="F4" s="133"/>
      <c r="G4" s="133"/>
      <c r="H4" s="134"/>
      <c r="I4" s="138" t="s">
        <v>122</v>
      </c>
      <c r="J4" s="138"/>
      <c r="K4" s="182" t="s">
        <v>109</v>
      </c>
      <c r="L4" s="183"/>
      <c r="M4" s="184"/>
    </row>
    <row r="5" spans="1:13" ht="21.75" customHeight="1">
      <c r="A5" s="21" t="s">
        <v>124</v>
      </c>
      <c r="B5" s="135" t="s">
        <v>114</v>
      </c>
      <c r="C5" s="136"/>
      <c r="D5" s="136"/>
      <c r="E5" s="136"/>
      <c r="F5" s="136"/>
      <c r="G5" s="136"/>
      <c r="H5" s="137"/>
      <c r="I5" s="142" t="s">
        <v>123</v>
      </c>
      <c r="J5" s="142"/>
      <c r="K5" s="139"/>
      <c r="L5" s="140"/>
      <c r="M5" s="141"/>
    </row>
    <row r="6" spans="1:13" ht="15">
      <c r="A6" s="127" t="s">
        <v>14</v>
      </c>
      <c r="B6" s="127"/>
      <c r="C6" s="127"/>
      <c r="D6" s="127"/>
      <c r="E6" s="127"/>
      <c r="F6" s="127"/>
      <c r="G6" s="127"/>
      <c r="H6" s="127"/>
      <c r="I6" s="127"/>
      <c r="J6" s="127"/>
      <c r="K6" s="127"/>
      <c r="L6" s="127"/>
      <c r="M6" s="127"/>
    </row>
    <row r="7" spans="1:13" ht="15.65" customHeight="1">
      <c r="A7" s="22"/>
      <c r="B7" s="45" t="s">
        <v>112</v>
      </c>
      <c r="C7" s="46"/>
      <c r="D7" s="46"/>
      <c r="E7" s="47" t="s">
        <v>117</v>
      </c>
      <c r="F7" s="131" t="s">
        <v>101</v>
      </c>
      <c r="G7" s="131"/>
      <c r="H7" s="49" t="s">
        <v>113</v>
      </c>
      <c r="I7" s="50"/>
      <c r="J7" s="50"/>
      <c r="K7" s="47" t="s">
        <v>117</v>
      </c>
      <c r="L7" s="131" t="s">
        <v>101</v>
      </c>
      <c r="M7" s="131"/>
    </row>
    <row r="8" spans="1:13" ht="29.25" customHeight="1">
      <c r="A8" s="22" t="s">
        <v>0</v>
      </c>
      <c r="B8" s="31" t="str">
        <f>'ใส่ข้อมูลตัวอย่าง ไม่ต้องปริ้น'!D35</f>
        <v>26P260601031-1</v>
      </c>
      <c r="C8" s="30"/>
      <c r="D8" s="30"/>
      <c r="E8" s="48"/>
      <c r="F8" s="126">
        <f>'ใส่ข้อมูลตัวอย่าง ไม่ต้องปริ้น'!E35</f>
        <v>33</v>
      </c>
      <c r="G8" s="124"/>
      <c r="H8" s="31" t="str">
        <f>'ใส่ข้อมูลตัวอย่าง ไม่ต้องปริ้น'!D43</f>
        <v>26P260601038-1</v>
      </c>
      <c r="I8" s="30"/>
      <c r="J8" s="30"/>
      <c r="K8" s="48"/>
      <c r="L8" s="126">
        <f>'ใส่ข้อมูลตัวอย่าง ไม่ต้องปริ้น'!E43</f>
        <v>41</v>
      </c>
      <c r="M8" s="125"/>
    </row>
    <row r="9" spans="1:13" ht="29.25" customHeight="1">
      <c r="A9" s="22" t="s">
        <v>1</v>
      </c>
      <c r="B9" s="31" t="str">
        <f>'ใส่ข้อมูลตัวอย่าง ไม่ต้องปริ้น'!D36</f>
        <v>26P260601032-1</v>
      </c>
      <c r="C9" s="30"/>
      <c r="D9" s="30"/>
      <c r="E9" s="48"/>
      <c r="F9" s="126">
        <f>'ใส่ข้อมูลตัวอย่าง ไม่ต้องปริ้น'!E36</f>
        <v>34</v>
      </c>
      <c r="G9" s="124"/>
      <c r="H9" s="31" t="str">
        <f>'ใส่ข้อมูลตัวอย่าง ไม่ต้องปริ้น'!D44</f>
        <v>26P260601039-1</v>
      </c>
      <c r="I9" s="30"/>
      <c r="J9" s="30"/>
      <c r="K9" s="48"/>
      <c r="L9" s="126">
        <f>'ใส่ข้อมูลตัวอย่าง ไม่ต้องปริ้น'!E44</f>
        <v>42</v>
      </c>
      <c r="M9" s="125"/>
    </row>
    <row r="10" spans="1:13" ht="29.25" customHeight="1">
      <c r="A10" s="22" t="s">
        <v>2</v>
      </c>
      <c r="B10" s="31" t="str">
        <f>'ใส่ข้อมูลตัวอย่าง ไม่ต้องปริ้น'!D37</f>
        <v>26P260601033-1</v>
      </c>
      <c r="C10" s="30"/>
      <c r="D10" s="30"/>
      <c r="E10" s="48"/>
      <c r="F10" s="126">
        <f>'ใส่ข้อมูลตัวอย่าง ไม่ต้องปริ้น'!E37</f>
        <v>35</v>
      </c>
      <c r="G10" s="124"/>
      <c r="H10" s="31" t="str">
        <f>'ใส่ข้อมูลตัวอย่าง ไม่ต้องปริ้น'!D45</f>
        <v>26P260601040-1</v>
      </c>
      <c r="I10" s="30"/>
      <c r="J10" s="30"/>
      <c r="K10" s="48"/>
      <c r="L10" s="126">
        <f>'ใส่ข้อมูลตัวอย่าง ไม่ต้องปริ้น'!E45</f>
        <v>43</v>
      </c>
      <c r="M10" s="125"/>
    </row>
    <row r="11" spans="1:13" ht="29.25" customHeight="1">
      <c r="A11" s="22" t="s">
        <v>3</v>
      </c>
      <c r="B11" s="31" t="str">
        <f>'ใส่ข้อมูลตัวอย่าง ไม่ต้องปริ้น'!D38</f>
        <v>26P260601034-1</v>
      </c>
      <c r="C11" s="30"/>
      <c r="D11" s="30"/>
      <c r="E11" s="48"/>
      <c r="F11" s="126">
        <f>'ใส่ข้อมูลตัวอย่าง ไม่ต้องปริ้น'!E38</f>
        <v>36</v>
      </c>
      <c r="G11" s="124"/>
      <c r="H11" s="31" t="str">
        <f>'ใส่ข้อมูลตัวอย่าง ไม่ต้องปริ้น'!D46</f>
        <v>26P260601041-1</v>
      </c>
      <c r="I11" s="30"/>
      <c r="J11" s="30"/>
      <c r="K11" s="48"/>
      <c r="L11" s="126">
        <f>'ใส่ข้อมูลตัวอย่าง ไม่ต้องปริ้น'!E46</f>
        <v>44</v>
      </c>
      <c r="M11" s="125"/>
    </row>
    <row r="12" spans="1:13" ht="29.25" customHeight="1">
      <c r="A12" s="22" t="s">
        <v>4</v>
      </c>
      <c r="B12" s="31" t="str">
        <f>'ใส่ข้อมูลตัวอย่าง ไม่ต้องปริ้น'!D39</f>
        <v>26P260601035-1</v>
      </c>
      <c r="C12" s="30"/>
      <c r="D12" s="30"/>
      <c r="E12" s="48"/>
      <c r="F12" s="126">
        <f>'ใส่ข้อมูลตัวอย่าง ไม่ต้องปริ้น'!E39</f>
        <v>37</v>
      </c>
      <c r="G12" s="124"/>
      <c r="H12" s="31" t="str">
        <f>'ใส่ข้อมูลตัวอย่าง ไม่ต้องปริ้น'!D47</f>
        <v>26P260601042-2</v>
      </c>
      <c r="I12" s="30"/>
      <c r="J12" s="30"/>
      <c r="K12" s="48"/>
      <c r="L12" s="126">
        <f>'ใส่ข้อมูลตัวอย่าง ไม่ต้องปริ้น'!E47</f>
        <v>45</v>
      </c>
      <c r="M12" s="125"/>
    </row>
    <row r="13" spans="1:13" ht="29.25" customHeight="1">
      <c r="A13" s="22" t="s">
        <v>5</v>
      </c>
      <c r="B13" s="31" t="str">
        <f>'ใส่ข้อมูลตัวอย่าง ไม่ต้องปริ้น'!D40</f>
        <v>26P260601036-1</v>
      </c>
      <c r="C13" s="30"/>
      <c r="D13" s="30"/>
      <c r="E13" s="48"/>
      <c r="F13" s="126">
        <f>'ใส่ข้อมูลตัวอย่าง ไม่ต้องปริ้น'!E40</f>
        <v>38</v>
      </c>
      <c r="G13" s="124"/>
      <c r="H13" s="31" t="str">
        <f>'ใส่ข้อมูลตัวอย่าง ไม่ต้องปริ้น'!D48</f>
        <v>26P260601043-2</v>
      </c>
      <c r="I13" s="30"/>
      <c r="J13" s="30"/>
      <c r="K13" s="48"/>
      <c r="L13" s="126">
        <f>'ใส่ข้อมูลตัวอย่าง ไม่ต้องปริ้น'!E48</f>
        <v>46</v>
      </c>
      <c r="M13" s="125"/>
    </row>
    <row r="14" spans="1:13" ht="29.25" customHeight="1">
      <c r="A14" s="22" t="s">
        <v>6</v>
      </c>
      <c r="B14" s="31" t="str">
        <f>'ใส่ข้อมูลตัวอย่าง ไม่ต้องปริ้น'!D41</f>
        <v>26P260601037-1</v>
      </c>
      <c r="C14" s="30"/>
      <c r="D14" s="30"/>
      <c r="E14" s="48"/>
      <c r="F14" s="126">
        <f>'ใส่ข้อมูลตัวอย่าง ไม่ต้องปริ้น'!E41</f>
        <v>39</v>
      </c>
      <c r="G14" s="124"/>
      <c r="H14" s="31" t="str">
        <f>'ใส่ข้อมูลตัวอย่าง ไม่ต้องปริ้น'!D49</f>
        <v>26P260601044-2</v>
      </c>
      <c r="I14" s="30"/>
      <c r="J14" s="30"/>
      <c r="K14" s="48"/>
      <c r="L14" s="126">
        <f>'ใส่ข้อมูลตัวอย่าง ไม่ต้องปริ้น'!E49</f>
        <v>47</v>
      </c>
      <c r="M14" s="125"/>
    </row>
    <row r="15" spans="1:13" ht="29.25" customHeight="1">
      <c r="A15" s="22" t="s">
        <v>7</v>
      </c>
      <c r="B15" s="31" t="str">
        <f>'ใส่ข้อมูลตัวอย่าง ไม่ต้องปริ้น'!D42</f>
        <v>26N320260601-1</v>
      </c>
      <c r="C15" s="30"/>
      <c r="D15" s="30"/>
      <c r="E15" s="48"/>
      <c r="F15" s="126">
        <f>'ใส่ข้อมูลตัวอย่าง ไม่ต้องปริ้น'!E42</f>
        <v>40</v>
      </c>
      <c r="G15" s="124"/>
      <c r="H15" s="31" t="str">
        <f>'ใส่ข้อมูลตัวอย่าง ไม่ต้องปริ้น'!D50</f>
        <v>26P260601045-2</v>
      </c>
      <c r="I15" s="30"/>
      <c r="J15" s="30"/>
      <c r="K15" s="48"/>
      <c r="L15" s="126">
        <f>'ใส่ข้อมูลตัวอย่าง ไม่ต้องปริ้น'!E50</f>
        <v>48</v>
      </c>
      <c r="M15" s="125"/>
    </row>
    <row r="16" spans="1:13" ht="27" customHeight="1">
      <c r="A16" s="44" t="s">
        <v>15</v>
      </c>
      <c r="B16" s="187"/>
      <c r="C16" s="187"/>
      <c r="D16" s="187"/>
      <c r="E16" s="187"/>
      <c r="F16" s="187"/>
      <c r="G16" s="187"/>
      <c r="H16" s="187"/>
      <c r="I16" s="187"/>
      <c r="J16" s="187"/>
      <c r="K16" s="187"/>
      <c r="L16" s="187"/>
      <c r="M16" s="187"/>
    </row>
    <row r="17" spans="1:13" ht="30.65" customHeight="1">
      <c r="A17" s="44" t="s">
        <v>115</v>
      </c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</row>
    <row r="18" spans="1:13" ht="31.9" customHeight="1">
      <c r="A18" s="44" t="s">
        <v>116</v>
      </c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</row>
    <row r="19" spans="1:13" ht="22.15" customHeight="1">
      <c r="A19" s="146" t="s">
        <v>125</v>
      </c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</row>
    <row r="20" spans="1:13" ht="14.5" customHeight="1">
      <c r="A20" s="147" t="s">
        <v>126</v>
      </c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</row>
    <row r="21" spans="1:13" ht="21" customHeight="1">
      <c r="A21" s="143" t="s">
        <v>34</v>
      </c>
      <c r="B21" s="152" t="s">
        <v>145</v>
      </c>
      <c r="C21" s="148"/>
      <c r="D21" s="148"/>
      <c r="E21" s="148"/>
      <c r="F21" s="148"/>
      <c r="G21" s="148"/>
      <c r="H21" s="152" t="s">
        <v>139</v>
      </c>
      <c r="I21" s="148"/>
      <c r="J21" s="148"/>
      <c r="K21" s="148"/>
      <c r="L21" s="148"/>
      <c r="M21" s="148"/>
    </row>
    <row r="22" spans="1:13" ht="16.5" customHeight="1">
      <c r="A22" s="143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</row>
    <row r="23" spans="1:13" ht="19.149999999999999" customHeight="1">
      <c r="A23" s="143"/>
      <c r="B23" s="152" t="s">
        <v>146</v>
      </c>
      <c r="C23" s="148"/>
      <c r="D23" s="148"/>
      <c r="E23" s="148"/>
      <c r="F23" s="148"/>
      <c r="G23" s="148"/>
      <c r="H23" s="152" t="s">
        <v>140</v>
      </c>
      <c r="I23" s="148"/>
      <c r="J23" s="148"/>
      <c r="K23" s="148"/>
      <c r="L23" s="148"/>
      <c r="M23" s="148"/>
    </row>
    <row r="24" spans="1:13" ht="19.5" customHeight="1">
      <c r="A24" s="143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</row>
    <row r="25" spans="1:13" ht="19.5" customHeight="1">
      <c r="A25" s="143"/>
      <c r="B25" s="152" t="s">
        <v>147</v>
      </c>
      <c r="C25" s="148"/>
      <c r="D25" s="148"/>
      <c r="E25" s="148"/>
      <c r="F25" s="148"/>
      <c r="G25" s="148"/>
      <c r="H25" s="152" t="s">
        <v>136</v>
      </c>
      <c r="I25" s="148"/>
      <c r="J25" s="148"/>
      <c r="K25" s="148"/>
      <c r="L25" s="148"/>
      <c r="M25" s="148"/>
    </row>
    <row r="26" spans="1:13" ht="18.399999999999999" customHeight="1">
      <c r="A26" s="143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</row>
    <row r="27" spans="1:13" ht="13.9" customHeight="1">
      <c r="A27" s="143"/>
      <c r="B27" s="144" t="s">
        <v>127</v>
      </c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</row>
    <row r="28" spans="1:13" ht="13.9" customHeight="1">
      <c r="A28" s="143" t="s">
        <v>35</v>
      </c>
      <c r="B28" s="144"/>
      <c r="C28" s="144"/>
      <c r="D28" s="144"/>
      <c r="E28" s="144"/>
      <c r="F28" s="144"/>
      <c r="G28" s="144"/>
      <c r="H28" s="144"/>
      <c r="I28" s="144"/>
      <c r="J28" s="144"/>
      <c r="K28" s="144"/>
      <c r="L28" s="144"/>
      <c r="M28" s="144"/>
    </row>
    <row r="29" spans="1:13" ht="122.65" customHeight="1">
      <c r="A29" s="143"/>
      <c r="B29" s="159" t="s">
        <v>128</v>
      </c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</row>
    <row r="30" spans="1:13" ht="28" customHeight="1">
      <c r="A30" s="143"/>
      <c r="B30" s="152" t="s">
        <v>129</v>
      </c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</row>
    <row r="31" spans="1:13">
      <c r="A31" s="143"/>
      <c r="B31" s="148" t="s">
        <v>130</v>
      </c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</row>
    <row r="32" spans="1:13">
      <c r="A32" s="143"/>
      <c r="B32" s="148" t="s">
        <v>131</v>
      </c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</row>
    <row r="33" spans="1:13">
      <c r="A33" s="143"/>
      <c r="B33" s="148" t="s">
        <v>132</v>
      </c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</row>
    <row r="34" spans="1:13" ht="26.65" customHeight="1">
      <c r="A34" s="149" t="s">
        <v>133</v>
      </c>
      <c r="B34" s="149"/>
      <c r="C34" s="149"/>
      <c r="D34" s="149"/>
      <c r="E34" s="149"/>
      <c r="F34" s="149"/>
      <c r="G34" s="149"/>
      <c r="H34" s="149"/>
      <c r="I34" s="149"/>
      <c r="J34" s="149"/>
      <c r="K34" s="149"/>
      <c r="L34" s="149"/>
      <c r="M34" s="149"/>
    </row>
    <row r="35" spans="1:13" ht="26.65" customHeight="1">
      <c r="A35" s="150" t="s">
        <v>134</v>
      </c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51"/>
    </row>
    <row r="36" spans="1:13" ht="26.65" customHeight="1">
      <c r="A36" s="146" t="s">
        <v>135</v>
      </c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6"/>
      <c r="M36" s="146"/>
    </row>
    <row r="37" spans="1:13" ht="51.4" customHeight="1">
      <c r="A37" s="163" t="s">
        <v>34</v>
      </c>
      <c r="B37" s="160" t="s">
        <v>137</v>
      </c>
      <c r="C37" s="161"/>
      <c r="D37" s="161"/>
      <c r="E37" s="161"/>
      <c r="F37" s="161"/>
      <c r="G37" s="161"/>
      <c r="H37" s="161"/>
      <c r="I37" s="161"/>
      <c r="J37" s="161"/>
      <c r="K37" s="161"/>
      <c r="L37" s="161"/>
      <c r="M37" s="162"/>
    </row>
    <row r="38" spans="1:13" ht="19.149999999999999" customHeight="1">
      <c r="A38" s="164"/>
      <c r="B38" s="160" t="s">
        <v>141</v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6"/>
    </row>
    <row r="39" spans="1:13" ht="9.4" customHeight="1">
      <c r="A39" s="143" t="s">
        <v>38</v>
      </c>
      <c r="B39" s="152" t="s">
        <v>142</v>
      </c>
      <c r="C39" s="152"/>
      <c r="D39" s="152"/>
      <c r="E39" s="152"/>
      <c r="F39" s="152"/>
      <c r="G39" s="152"/>
      <c r="H39" s="152"/>
      <c r="I39" s="152"/>
      <c r="J39" s="152"/>
      <c r="K39" s="152"/>
      <c r="L39" s="152"/>
      <c r="M39" s="152"/>
    </row>
    <row r="40" spans="1:13" ht="13.9" customHeight="1">
      <c r="A40" s="143"/>
      <c r="B40" s="152"/>
      <c r="C40" s="152"/>
      <c r="D40" s="152"/>
      <c r="E40" s="152"/>
      <c r="F40" s="152"/>
      <c r="G40" s="152"/>
      <c r="H40" s="152"/>
      <c r="I40" s="152"/>
      <c r="J40" s="152"/>
      <c r="K40" s="152"/>
      <c r="L40" s="152"/>
      <c r="M40" s="152"/>
    </row>
    <row r="41" spans="1:13" ht="40.9" customHeight="1">
      <c r="A41" s="20" t="s">
        <v>37</v>
      </c>
      <c r="B41" s="152" t="s">
        <v>151</v>
      </c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</row>
    <row r="42" spans="1:13" ht="15" customHeight="1">
      <c r="A42" s="143" t="s">
        <v>35</v>
      </c>
      <c r="B42" s="159" t="s">
        <v>138</v>
      </c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59"/>
    </row>
    <row r="43" spans="1:13" ht="133.15" customHeight="1">
      <c r="A43" s="143"/>
      <c r="B43" s="159"/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</row>
    <row r="44" spans="1:13">
      <c r="A44" s="143" t="s">
        <v>36</v>
      </c>
      <c r="B44" s="148" t="s">
        <v>143</v>
      </c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</row>
    <row r="45" spans="1:13" ht="15" thickBot="1">
      <c r="A45" s="143"/>
      <c r="B45" s="158" t="s">
        <v>144</v>
      </c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</row>
    <row r="46" spans="1:13">
      <c r="A46" s="154"/>
      <c r="B46" s="155" t="s">
        <v>148</v>
      </c>
      <c r="C46" s="156"/>
      <c r="D46" s="156"/>
      <c r="E46" s="156"/>
      <c r="F46" s="156"/>
      <c r="G46" s="156"/>
      <c r="H46" s="156"/>
      <c r="I46" s="156"/>
      <c r="J46" s="156"/>
      <c r="K46" s="156"/>
      <c r="L46" s="156"/>
      <c r="M46" s="157"/>
    </row>
    <row r="47" spans="1:13" ht="26.65" customHeight="1" thickBot="1">
      <c r="A47" s="57"/>
      <c r="B47" s="167" t="s">
        <v>149</v>
      </c>
      <c r="C47" s="168"/>
      <c r="D47" s="168"/>
      <c r="E47" s="168"/>
      <c r="F47" s="168"/>
      <c r="G47" s="168"/>
      <c r="H47" s="168"/>
      <c r="I47" s="168"/>
      <c r="J47" s="168"/>
      <c r="K47" s="168"/>
      <c r="L47" s="168"/>
      <c r="M47" s="169"/>
    </row>
    <row r="48" spans="1:13" ht="26.65" customHeight="1">
      <c r="A48" s="149" t="s">
        <v>201</v>
      </c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</row>
    <row r="49" spans="1:13">
      <c r="A49" s="150" t="s">
        <v>150</v>
      </c>
      <c r="B49" s="151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</row>
  </sheetData>
  <mergeCells count="66">
    <mergeCell ref="A49:M49"/>
    <mergeCell ref="A1:A3"/>
    <mergeCell ref="B38:M38"/>
    <mergeCell ref="A39:A40"/>
    <mergeCell ref="B39:M40"/>
    <mergeCell ref="B41:M41"/>
    <mergeCell ref="B4:H4"/>
    <mergeCell ref="B5:H5"/>
    <mergeCell ref="K4:M4"/>
    <mergeCell ref="K5:M5"/>
    <mergeCell ref="B1:M3"/>
    <mergeCell ref="A48:M48"/>
    <mergeCell ref="B42:M43"/>
    <mergeCell ref="B44:M44"/>
    <mergeCell ref="B45:M45"/>
    <mergeCell ref="B46:M46"/>
    <mergeCell ref="A42:A43"/>
    <mergeCell ref="A44:A46"/>
    <mergeCell ref="B47:M47"/>
    <mergeCell ref="B33:M33"/>
    <mergeCell ref="A35:M35"/>
    <mergeCell ref="A36:M36"/>
    <mergeCell ref="A37:A38"/>
    <mergeCell ref="B37:M37"/>
    <mergeCell ref="A34:M34"/>
    <mergeCell ref="A30:A33"/>
    <mergeCell ref="B30:M30"/>
    <mergeCell ref="B31:M31"/>
    <mergeCell ref="B32:M32"/>
    <mergeCell ref="B25:G26"/>
    <mergeCell ref="H25:M26"/>
    <mergeCell ref="B27:M27"/>
    <mergeCell ref="A28:A29"/>
    <mergeCell ref="B28:M28"/>
    <mergeCell ref="B29:M29"/>
    <mergeCell ref="A21:A27"/>
    <mergeCell ref="B21:G22"/>
    <mergeCell ref="H21:M22"/>
    <mergeCell ref="B23:G24"/>
    <mergeCell ref="H23:M24"/>
    <mergeCell ref="B17:M17"/>
    <mergeCell ref="B18:M18"/>
    <mergeCell ref="A19:M19"/>
    <mergeCell ref="A20:M20"/>
    <mergeCell ref="B16:M16"/>
    <mergeCell ref="I4:J4"/>
    <mergeCell ref="I5:J5"/>
    <mergeCell ref="A6:M6"/>
    <mergeCell ref="F7:G7"/>
    <mergeCell ref="L7:M7"/>
    <mergeCell ref="F8:G8"/>
    <mergeCell ref="L8:M8"/>
    <mergeCell ref="F9:G9"/>
    <mergeCell ref="L9:M9"/>
    <mergeCell ref="F10:G10"/>
    <mergeCell ref="L10:M10"/>
    <mergeCell ref="F11:G11"/>
    <mergeCell ref="L11:M11"/>
    <mergeCell ref="F15:G15"/>
    <mergeCell ref="L15:M15"/>
    <mergeCell ref="F12:G12"/>
    <mergeCell ref="L12:M12"/>
    <mergeCell ref="F13:G13"/>
    <mergeCell ref="L13:M13"/>
    <mergeCell ref="F14:G14"/>
    <mergeCell ref="L14:M14"/>
  </mergeCells>
  <conditionalFormatting sqref="B8:D8 B9:E15 H8:K15">
    <cfRule type="duplicateValues" dxfId="6" priority="4"/>
  </conditionalFormatting>
  <conditionalFormatting sqref="E8">
    <cfRule type="duplicateValues" dxfId="5" priority="3"/>
  </conditionalFormatting>
  <conditionalFormatting sqref="F8:F15">
    <cfRule type="duplicateValues" dxfId="4" priority="2"/>
  </conditionalFormatting>
  <conditionalFormatting sqref="L8:L15">
    <cfRule type="duplicateValues" dxfId="3" priority="1"/>
  </conditionalFormatting>
  <pageMargins left="0.69930555555555596" right="0.69930555555555596" top="0.75" bottom="0.75" header="0.3" footer="0.3"/>
  <pageSetup paperSize="9" scale="99" fitToHeight="0" orientation="portrait" r:id="rId1"/>
  <rowBreaks count="1" manualBreakCount="1">
    <brk id="27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55"/>
  <sheetViews>
    <sheetView view="pageBreakPreview" zoomScale="94" zoomScaleNormal="100" zoomScaleSheetLayoutView="94" workbookViewId="0">
      <selection activeCell="D34" sqref="D34:I34"/>
    </sheetView>
  </sheetViews>
  <sheetFormatPr defaultColWidth="9" defaultRowHeight="11.5"/>
  <cols>
    <col min="1" max="1" width="3.26953125" style="14" customWidth="1"/>
    <col min="2" max="2" width="25.7265625" style="14" customWidth="1"/>
    <col min="3" max="3" width="17.1796875" style="14" customWidth="1"/>
    <col min="4" max="4" width="7.453125" style="14" customWidth="1"/>
    <col min="5" max="5" width="14.7265625" style="14" customWidth="1"/>
    <col min="6" max="6" width="11.7265625" style="14" customWidth="1"/>
    <col min="7" max="8" width="12.453125" style="14" customWidth="1"/>
    <col min="9" max="9" width="7.453125" style="14" customWidth="1"/>
    <col min="10" max="16384" width="9" style="14"/>
  </cols>
  <sheetData>
    <row r="1" spans="1:9" ht="11.25" customHeight="1">
      <c r="A1" s="204"/>
      <c r="B1" s="205"/>
      <c r="C1" s="210" t="s">
        <v>154</v>
      </c>
      <c r="D1" s="211"/>
      <c r="E1" s="211"/>
      <c r="F1" s="211"/>
      <c r="G1" s="212"/>
      <c r="H1" s="212"/>
      <c r="I1" s="213"/>
    </row>
    <row r="2" spans="1:9" ht="11.25" customHeight="1" thickBot="1">
      <c r="A2" s="206"/>
      <c r="B2" s="207"/>
      <c r="C2" s="214"/>
      <c r="D2" s="215"/>
      <c r="E2" s="215"/>
      <c r="F2" s="215"/>
      <c r="G2" s="216"/>
      <c r="H2" s="217"/>
      <c r="I2" s="218"/>
    </row>
    <row r="3" spans="1:9" ht="13.5" customHeight="1">
      <c r="A3" s="206"/>
      <c r="B3" s="207"/>
      <c r="C3" s="200" t="s">
        <v>121</v>
      </c>
      <c r="D3" s="193" t="s">
        <v>153</v>
      </c>
      <c r="E3" s="194"/>
      <c r="F3" s="191" t="s">
        <v>123</v>
      </c>
      <c r="G3" s="219"/>
      <c r="H3" s="220"/>
      <c r="I3" s="221"/>
    </row>
    <row r="4" spans="1:9" ht="15" customHeight="1" thickBot="1">
      <c r="A4" s="208"/>
      <c r="B4" s="209"/>
      <c r="C4" s="201"/>
      <c r="D4" s="195"/>
      <c r="E4" s="195"/>
      <c r="F4" s="192"/>
      <c r="G4" s="222"/>
      <c r="H4" s="223"/>
      <c r="I4" s="224"/>
    </row>
    <row r="5" spans="1:9" ht="10.5" customHeight="1">
      <c r="A5" s="196"/>
      <c r="B5" s="198" t="s">
        <v>17</v>
      </c>
      <c r="C5" s="202" t="s">
        <v>16</v>
      </c>
      <c r="D5" s="237" t="s">
        <v>156</v>
      </c>
      <c r="E5" s="238"/>
      <c r="F5" s="238"/>
      <c r="G5" s="238"/>
      <c r="H5" s="238"/>
      <c r="I5" s="238"/>
    </row>
    <row r="6" spans="1:9" ht="8.25" customHeight="1" thickBot="1">
      <c r="A6" s="197"/>
      <c r="B6" s="199"/>
      <c r="C6" s="203"/>
      <c r="D6" s="239"/>
      <c r="E6" s="240"/>
      <c r="F6" s="240"/>
      <c r="G6" s="240"/>
      <c r="H6" s="240"/>
      <c r="I6" s="240"/>
    </row>
    <row r="7" spans="1:9" ht="13.5" customHeight="1" thickBot="1">
      <c r="A7" s="15">
        <v>1</v>
      </c>
      <c r="B7" s="6" t="str">
        <f>'ใส่ข้อมูลตัวอย่าง ไม่ต้องปริ้น'!D3</f>
        <v>26N120260601-1</v>
      </c>
      <c r="C7" s="16"/>
      <c r="D7" s="241"/>
      <c r="E7" s="242"/>
      <c r="F7" s="242"/>
      <c r="G7" s="242"/>
      <c r="H7" s="242"/>
      <c r="I7" s="242"/>
    </row>
    <row r="8" spans="1:9" ht="13.5" customHeight="1" thickBot="1">
      <c r="A8" s="17">
        <v>2</v>
      </c>
      <c r="B8" s="6" t="str">
        <f>'ใส่ข้อมูลตัวอย่าง ไม่ต้องปริ้น'!D4</f>
        <v>26P260601001-1</v>
      </c>
      <c r="C8" s="16"/>
      <c r="D8" s="257" t="s">
        <v>157</v>
      </c>
      <c r="E8" s="258"/>
      <c r="F8" s="258"/>
      <c r="G8" s="258"/>
      <c r="H8" s="258"/>
      <c r="I8" s="259"/>
    </row>
    <row r="9" spans="1:9" ht="13.5" customHeight="1" thickBot="1">
      <c r="A9" s="17">
        <v>3</v>
      </c>
      <c r="B9" s="6" t="str">
        <f>'ใส่ข้อมูลตัวอย่าง ไม่ต้องปริ้น'!D5</f>
        <v>26B260601002-1</v>
      </c>
      <c r="C9" s="16"/>
      <c r="D9" s="260" t="s">
        <v>170</v>
      </c>
      <c r="E9" s="261"/>
      <c r="F9" s="261"/>
      <c r="G9" s="261"/>
      <c r="H9" s="261"/>
      <c r="I9" s="262"/>
    </row>
    <row r="10" spans="1:9" ht="13.5" customHeight="1" thickBot="1">
      <c r="A10" s="17">
        <v>4</v>
      </c>
      <c r="B10" s="6" t="str">
        <f>'ใส่ข้อมูลตัวอย่าง ไม่ต้องปริ้น'!D6</f>
        <v>26B260601003-1</v>
      </c>
      <c r="C10" s="16"/>
      <c r="D10" s="59"/>
      <c r="E10" s="255" t="s">
        <v>166</v>
      </c>
      <c r="F10" s="256"/>
      <c r="G10" s="255" t="s">
        <v>158</v>
      </c>
      <c r="H10" s="256"/>
      <c r="I10" s="67"/>
    </row>
    <row r="11" spans="1:9" ht="13.5" customHeight="1" thickBot="1">
      <c r="A11" s="17">
        <v>5</v>
      </c>
      <c r="B11" s="6" t="str">
        <f>'ใส่ข้อมูลตัวอย่าง ไม่ต้องปริ้น'!D7</f>
        <v>26B260601004-1</v>
      </c>
      <c r="C11" s="16"/>
      <c r="D11" s="59"/>
      <c r="E11" s="243" t="s">
        <v>159</v>
      </c>
      <c r="F11" s="245" t="s">
        <v>160</v>
      </c>
      <c r="G11" s="243" t="s">
        <v>159</v>
      </c>
      <c r="H11" s="243" t="s">
        <v>165</v>
      </c>
    </row>
    <row r="12" spans="1:9" ht="15" customHeight="1" thickBot="1">
      <c r="A12" s="17">
        <v>6</v>
      </c>
      <c r="B12" s="6" t="str">
        <f>'ใส่ข้อมูลตัวอย่าง ไม่ต้องปริ้น'!D8</f>
        <v>26B260601005-1</v>
      </c>
      <c r="C12" s="16"/>
      <c r="D12" s="59"/>
      <c r="E12" s="244"/>
      <c r="F12" s="246"/>
      <c r="G12" s="244"/>
      <c r="H12" s="244"/>
    </row>
    <row r="13" spans="1:9" ht="15.65" customHeight="1" thickBot="1">
      <c r="A13" s="17">
        <v>7</v>
      </c>
      <c r="B13" s="6" t="str">
        <f>'ใส่ข้อมูลตัวอย่าง ไม่ต้องปริ้น'!D9</f>
        <v>26B260601006-1</v>
      </c>
      <c r="C13" s="16"/>
      <c r="D13" s="59"/>
      <c r="E13" s="65" t="s">
        <v>161</v>
      </c>
      <c r="F13" s="66" t="s">
        <v>162</v>
      </c>
      <c r="G13" s="65" t="s">
        <v>163</v>
      </c>
      <c r="H13" s="65" t="s">
        <v>164</v>
      </c>
    </row>
    <row r="14" spans="1:9" ht="13.5" customHeight="1" thickBot="1">
      <c r="A14" s="17">
        <v>8</v>
      </c>
      <c r="B14" s="6" t="str">
        <f>'ใส่ข้อมูลตัวอย่าง ไม่ต้องปริ้น'!D10</f>
        <v>26B260601007-1</v>
      </c>
      <c r="C14" s="16"/>
      <c r="D14" s="253" t="s">
        <v>171</v>
      </c>
      <c r="E14" s="254"/>
      <c r="F14" s="254"/>
      <c r="G14" s="254"/>
      <c r="H14" s="254"/>
      <c r="I14" s="254"/>
    </row>
    <row r="15" spans="1:9" ht="13.5" customHeight="1" thickBot="1">
      <c r="A15" s="17">
        <v>9</v>
      </c>
      <c r="B15" s="6" t="str">
        <f>'ใส่ข้อมูลตัวอย่าง ไม่ต้องปริ้น'!D11</f>
        <v>26B260601008-1</v>
      </c>
      <c r="C15" s="16"/>
      <c r="D15" s="263" t="s">
        <v>169</v>
      </c>
      <c r="E15" s="264"/>
      <c r="F15" s="264"/>
      <c r="G15" s="264"/>
      <c r="H15" s="264"/>
      <c r="I15" s="264"/>
    </row>
    <row r="16" spans="1:9" ht="13.5" customHeight="1" thickBot="1">
      <c r="A16" s="17">
        <v>10</v>
      </c>
      <c r="B16" s="6" t="str">
        <f>'ใส่ข้อมูลตัวอย่าง ไม่ต้องปริ้น'!D12</f>
        <v>26B260601009-1</v>
      </c>
      <c r="C16" s="16"/>
      <c r="D16" s="247" t="s">
        <v>118</v>
      </c>
      <c r="E16" s="248"/>
      <c r="F16" s="248"/>
      <c r="G16" s="248"/>
      <c r="H16" s="248"/>
      <c r="I16" s="249"/>
    </row>
    <row r="17" spans="1:9" ht="13.5" customHeight="1" thickBot="1">
      <c r="A17" s="17">
        <v>11</v>
      </c>
      <c r="B17" s="6" t="str">
        <f>'ใส่ข้อมูลตัวอย่าง ไม่ต้องปริ้น'!D13</f>
        <v>26B260601010-1</v>
      </c>
      <c r="C17" s="16"/>
      <c r="D17" s="250"/>
      <c r="E17" s="251"/>
      <c r="F17" s="251"/>
      <c r="G17" s="251"/>
      <c r="H17" s="251"/>
      <c r="I17" s="252"/>
    </row>
    <row r="18" spans="1:9" ht="13.5" customHeight="1" thickBot="1">
      <c r="A18" s="17">
        <v>12</v>
      </c>
      <c r="B18" s="6" t="str">
        <f>'ใส่ข้อมูลตัวอย่าง ไม่ต้องปริ้น'!D14</f>
        <v>26B260601011-1</v>
      </c>
      <c r="C18" s="16"/>
      <c r="D18" s="225" t="s">
        <v>167</v>
      </c>
      <c r="E18" s="226"/>
      <c r="F18" s="226"/>
      <c r="G18" s="226"/>
      <c r="H18" s="226"/>
      <c r="I18" s="227"/>
    </row>
    <row r="19" spans="1:9" ht="13.5" customHeight="1" thickBot="1">
      <c r="A19" s="17">
        <v>13</v>
      </c>
      <c r="B19" s="6" t="str">
        <f>'ใส่ข้อมูลตัวอย่าง ไม่ต้องปริ้น'!D15</f>
        <v>26B260601012-1</v>
      </c>
      <c r="C19" s="16"/>
      <c r="D19" s="228"/>
      <c r="E19" s="229"/>
      <c r="F19" s="229"/>
      <c r="G19" s="229"/>
      <c r="H19" s="229"/>
      <c r="I19" s="230"/>
    </row>
    <row r="20" spans="1:9" ht="13.5" customHeight="1" thickBot="1">
      <c r="A20" s="17">
        <v>14</v>
      </c>
      <c r="B20" s="6" t="str">
        <f>'ใส่ข้อมูลตัวอย่าง ไม่ต้องปริ้น'!D16</f>
        <v>26B260601013-1</v>
      </c>
      <c r="C20" s="16"/>
      <c r="D20" s="225" t="s">
        <v>168</v>
      </c>
      <c r="E20" s="226"/>
      <c r="F20" s="226"/>
      <c r="G20" s="226"/>
      <c r="H20" s="226"/>
      <c r="I20" s="227"/>
    </row>
    <row r="21" spans="1:9" ht="13.5" customHeight="1" thickBot="1">
      <c r="A21" s="17">
        <v>15</v>
      </c>
      <c r="B21" s="6" t="str">
        <f>'ใส่ข้อมูลตัวอย่าง ไม่ต้องปริ้น'!D17</f>
        <v>26B260601014-1</v>
      </c>
      <c r="C21" s="16"/>
      <c r="D21" s="228"/>
      <c r="E21" s="229"/>
      <c r="F21" s="229"/>
      <c r="G21" s="229"/>
      <c r="H21" s="229"/>
      <c r="I21" s="230"/>
    </row>
    <row r="22" spans="1:9" ht="13.5" customHeight="1" thickBot="1">
      <c r="A22" s="17">
        <v>16</v>
      </c>
      <c r="B22" s="6" t="str">
        <f>'ใส่ข้อมูลตัวอย่าง ไม่ต้องปริ้น'!D18</f>
        <v>26B260601015-1</v>
      </c>
      <c r="C22" s="16"/>
      <c r="D22" s="231" t="s">
        <v>213</v>
      </c>
      <c r="E22" s="232"/>
      <c r="F22" s="232"/>
      <c r="G22" s="232"/>
      <c r="H22" s="232"/>
      <c r="I22" s="233"/>
    </row>
    <row r="23" spans="1:9" ht="13.5" customHeight="1" thickBot="1">
      <c r="A23" s="17">
        <v>17</v>
      </c>
      <c r="B23" s="6" t="str">
        <f>'ใส่ข้อมูลตัวอย่าง ไม่ต้องปริ้น'!D19</f>
        <v>26B260601016-1</v>
      </c>
      <c r="C23" s="16"/>
      <c r="D23" s="234"/>
      <c r="E23" s="235"/>
      <c r="F23" s="235"/>
      <c r="G23" s="235"/>
      <c r="H23" s="235"/>
      <c r="I23" s="236"/>
    </row>
    <row r="24" spans="1:9" ht="13.5" customHeight="1" thickBot="1">
      <c r="A24" s="17">
        <v>18</v>
      </c>
      <c r="B24" s="6" t="str">
        <f>'ใส่ข้อมูลตัวอย่าง ไม่ต้องปริ้น'!D20</f>
        <v>26B260601017-1</v>
      </c>
      <c r="C24" s="16"/>
    </row>
    <row r="25" spans="1:9" ht="13.5" customHeight="1" thickBot="1">
      <c r="A25" s="17">
        <v>19</v>
      </c>
      <c r="B25" s="6" t="str">
        <f>'ใส่ข้อมูลตัวอย่าง ไม่ต้องปริ้น'!D21</f>
        <v>26B260601018-1</v>
      </c>
      <c r="C25" s="68"/>
      <c r="D25" s="253" t="s">
        <v>185</v>
      </c>
      <c r="E25" s="254"/>
      <c r="F25" s="254"/>
      <c r="G25" s="254"/>
      <c r="H25" s="254"/>
      <c r="I25" s="254"/>
    </row>
    <row r="26" spans="1:9" ht="13.5" customHeight="1" thickBot="1">
      <c r="A26" s="17">
        <v>20</v>
      </c>
      <c r="B26" s="6" t="str">
        <f>'ใส่ข้อมูลตัวอย่าง ไม่ต้องปริ้น'!D22</f>
        <v>26B260601019-1</v>
      </c>
      <c r="C26" s="16"/>
      <c r="D26" s="267" t="s">
        <v>186</v>
      </c>
      <c r="E26" s="268"/>
      <c r="F26" s="268"/>
      <c r="G26" s="268"/>
      <c r="H26" s="268"/>
      <c r="I26" s="268"/>
    </row>
    <row r="27" spans="1:9" ht="13.5" customHeight="1" thickBot="1">
      <c r="A27" s="17">
        <v>21</v>
      </c>
      <c r="B27" s="6" t="str">
        <f>'ใส่ข้อมูลตัวอย่าง ไม่ต้องปริ้น'!D23</f>
        <v>26B260601020-1</v>
      </c>
      <c r="C27" s="16"/>
    </row>
    <row r="28" spans="1:9" ht="13.5" customHeight="1" thickBot="1">
      <c r="A28" s="17">
        <v>22</v>
      </c>
      <c r="B28" s="6" t="str">
        <f>'ใส่ข้อมูลตัวอย่าง ไม่ต้องปริ้น'!D24</f>
        <v>26B260601021-1</v>
      </c>
      <c r="C28" s="16"/>
    </row>
    <row r="29" spans="1:9" ht="13.5" customHeight="1" thickBot="1">
      <c r="A29" s="17">
        <v>23</v>
      </c>
      <c r="B29" s="6" t="str">
        <f>'ใส่ข้อมูลตัวอย่าง ไม่ต้องปริ้น'!D25</f>
        <v>26B260601022-1</v>
      </c>
      <c r="C29" s="16"/>
    </row>
    <row r="30" spans="1:9" ht="13.5" customHeight="1" thickBot="1">
      <c r="A30" s="17">
        <v>24</v>
      </c>
      <c r="B30" s="6" t="str">
        <f>'ใส่ข้อมูลตัวอย่าง ไม่ต้องปริ้น'!D26</f>
        <v>26B260601023-1</v>
      </c>
      <c r="C30" s="16"/>
      <c r="D30" s="59"/>
      <c r="E30" s="61"/>
      <c r="F30" s="61"/>
      <c r="G30" s="61"/>
      <c r="H30" s="61"/>
      <c r="I30" s="62"/>
    </row>
    <row r="31" spans="1:9" ht="13.5" customHeight="1" thickBot="1">
      <c r="A31" s="17">
        <v>25</v>
      </c>
      <c r="B31" s="6" t="str">
        <f>'ใส่ข้อมูลตัวอย่าง ไม่ต้องปริ้น'!D27</f>
        <v>26N220260601-1</v>
      </c>
      <c r="C31" s="16"/>
      <c r="D31" s="59"/>
      <c r="E31" s="61"/>
      <c r="F31" s="61"/>
      <c r="G31" s="61"/>
      <c r="H31" s="61"/>
      <c r="I31" s="62"/>
    </row>
    <row r="32" spans="1:9" ht="13.5" customHeight="1" thickBot="1">
      <c r="A32" s="17">
        <v>26</v>
      </c>
      <c r="B32" s="6" t="str">
        <f>'ใส่ข้อมูลตัวอย่าง ไม่ต้องปริ้น'!D28</f>
        <v>26P260601024-1</v>
      </c>
      <c r="C32" s="16"/>
      <c r="D32" s="253" t="s">
        <v>172</v>
      </c>
      <c r="E32" s="254"/>
      <c r="F32" s="254"/>
      <c r="G32" s="254"/>
      <c r="H32" s="254"/>
      <c r="I32" s="254"/>
    </row>
    <row r="33" spans="1:9" ht="13.5" customHeight="1" thickBot="1">
      <c r="A33" s="17">
        <v>27</v>
      </c>
      <c r="B33" s="6" t="str">
        <f>'ใส่ข้อมูลตัวอย่าง ไม่ต้องปริ้น'!D29</f>
        <v>26P260601025-1</v>
      </c>
      <c r="C33" s="16"/>
      <c r="D33" s="265" t="s">
        <v>173</v>
      </c>
      <c r="E33" s="266"/>
      <c r="F33" s="266"/>
      <c r="G33" s="266"/>
      <c r="H33" s="266"/>
      <c r="I33" s="266"/>
    </row>
    <row r="34" spans="1:9" ht="13.5" customHeight="1" thickBot="1">
      <c r="A34" s="17">
        <v>28</v>
      </c>
      <c r="B34" s="6" t="str">
        <f>'ใส่ข้อมูลตัวอย่าง ไม่ต้องปริ้น'!D30</f>
        <v>26P260601026-1</v>
      </c>
      <c r="C34" s="16"/>
      <c r="D34" s="265" t="s">
        <v>174</v>
      </c>
      <c r="E34" s="266"/>
      <c r="F34" s="266"/>
      <c r="G34" s="266"/>
      <c r="H34" s="266"/>
      <c r="I34" s="266"/>
    </row>
    <row r="35" spans="1:9" ht="13.5" customHeight="1" thickBot="1">
      <c r="A35" s="17">
        <v>29</v>
      </c>
      <c r="B35" s="6" t="str">
        <f>'ใส่ข้อมูลตัวอย่าง ไม่ต้องปริ้น'!D31</f>
        <v>26P260601027-1</v>
      </c>
      <c r="C35" s="16"/>
      <c r="D35" s="59"/>
      <c r="E35" s="61"/>
      <c r="F35" s="61"/>
      <c r="G35" s="61"/>
      <c r="H35" s="61"/>
      <c r="I35" s="62"/>
    </row>
    <row r="36" spans="1:9" ht="13.5" customHeight="1" thickBot="1">
      <c r="A36" s="17">
        <v>30</v>
      </c>
      <c r="B36" s="6" t="str">
        <f>'ใส่ข้อมูลตัวอย่าง ไม่ต้องปริ้น'!D32</f>
        <v>26P260601028-1</v>
      </c>
      <c r="C36" s="16"/>
      <c r="D36" s="59"/>
      <c r="E36" s="61"/>
      <c r="F36" s="61"/>
      <c r="G36" s="61"/>
      <c r="H36" s="61"/>
      <c r="I36" s="62"/>
    </row>
    <row r="37" spans="1:9" ht="13.5" customHeight="1" thickBot="1">
      <c r="A37" s="17">
        <v>31</v>
      </c>
      <c r="B37" s="6" t="str">
        <f>'ใส่ข้อมูลตัวอย่าง ไม่ต้องปริ้น'!D33</f>
        <v>26P260601029-1</v>
      </c>
      <c r="C37" s="16"/>
      <c r="D37" s="59"/>
      <c r="E37" s="61"/>
      <c r="F37" s="61"/>
      <c r="G37" s="61"/>
      <c r="H37" s="61"/>
      <c r="I37" s="62"/>
    </row>
    <row r="38" spans="1:9" ht="13.5" customHeight="1" thickBot="1">
      <c r="A38" s="17">
        <v>32</v>
      </c>
      <c r="B38" s="6" t="str">
        <f>'ใส่ข้อมูลตัวอย่าง ไม่ต้องปริ้น'!D34</f>
        <v>26P260601030-1</v>
      </c>
      <c r="C38" s="16"/>
      <c r="D38" s="59"/>
      <c r="E38" s="61"/>
      <c r="F38" s="61"/>
      <c r="G38" s="61"/>
      <c r="H38" s="61"/>
      <c r="I38" s="62"/>
    </row>
    <row r="39" spans="1:9" ht="13.5" customHeight="1" thickBot="1">
      <c r="A39" s="17">
        <v>33</v>
      </c>
      <c r="B39" s="6" t="str">
        <f>'ใส่ข้อมูลตัวอย่าง ไม่ต้องปริ้น'!D35</f>
        <v>26P260601031-1</v>
      </c>
      <c r="C39" s="16"/>
      <c r="D39" s="59"/>
      <c r="E39" s="61"/>
      <c r="F39" s="61"/>
      <c r="G39" s="61"/>
      <c r="H39" s="61"/>
      <c r="I39" s="62"/>
    </row>
    <row r="40" spans="1:9" ht="13.5" customHeight="1" thickBot="1">
      <c r="A40" s="17">
        <v>34</v>
      </c>
      <c r="B40" s="6" t="str">
        <f>'ใส่ข้อมูลตัวอย่าง ไม่ต้องปริ้น'!D36</f>
        <v>26P260601032-1</v>
      </c>
      <c r="C40" s="16"/>
      <c r="D40" s="59"/>
      <c r="E40" s="61"/>
      <c r="F40" s="61"/>
      <c r="G40" s="61"/>
      <c r="H40" s="61"/>
      <c r="I40" s="62"/>
    </row>
    <row r="41" spans="1:9" ht="13.5" customHeight="1" thickBot="1">
      <c r="A41" s="17">
        <v>35</v>
      </c>
      <c r="B41" s="6" t="str">
        <f>'ใส่ข้อมูลตัวอย่าง ไม่ต้องปริ้น'!D37</f>
        <v>26P260601033-1</v>
      </c>
      <c r="C41" s="16"/>
      <c r="D41" s="59"/>
      <c r="E41" s="61"/>
      <c r="F41" s="61"/>
      <c r="G41" s="61"/>
      <c r="H41" s="61"/>
      <c r="I41" s="62"/>
    </row>
    <row r="42" spans="1:9" ht="13.5" customHeight="1" thickBot="1">
      <c r="A42" s="17">
        <v>36</v>
      </c>
      <c r="B42" s="6" t="str">
        <f>'ใส่ข้อมูลตัวอย่าง ไม่ต้องปริ้น'!D38</f>
        <v>26P260601034-1</v>
      </c>
      <c r="C42" s="16"/>
      <c r="D42" s="59"/>
      <c r="E42" s="61"/>
      <c r="F42" s="61"/>
      <c r="G42" s="61"/>
      <c r="H42" s="61"/>
      <c r="I42" s="62"/>
    </row>
    <row r="43" spans="1:9" ht="13.5" customHeight="1" thickBot="1">
      <c r="A43" s="17">
        <v>37</v>
      </c>
      <c r="B43" s="6" t="str">
        <f>'ใส่ข้อมูลตัวอย่าง ไม่ต้องปริ้น'!D39</f>
        <v>26P260601035-1</v>
      </c>
      <c r="C43" s="16"/>
      <c r="D43" s="59"/>
      <c r="E43" s="61"/>
      <c r="F43" s="61"/>
      <c r="G43" s="61"/>
      <c r="H43" s="61"/>
      <c r="I43" s="62"/>
    </row>
    <row r="44" spans="1:9" ht="13.5" customHeight="1" thickBot="1">
      <c r="A44" s="17">
        <v>38</v>
      </c>
      <c r="B44" s="6" t="str">
        <f>'ใส่ข้อมูลตัวอย่าง ไม่ต้องปริ้น'!D40</f>
        <v>26P260601036-1</v>
      </c>
      <c r="C44" s="16"/>
      <c r="D44" s="59"/>
      <c r="E44" s="61"/>
      <c r="F44" s="61"/>
      <c r="G44" s="61"/>
      <c r="H44" s="61"/>
      <c r="I44" s="62"/>
    </row>
    <row r="45" spans="1:9" ht="13.5" customHeight="1" thickBot="1">
      <c r="A45" s="17">
        <v>39</v>
      </c>
      <c r="B45" s="6" t="str">
        <f>'ใส่ข้อมูลตัวอย่าง ไม่ต้องปริ้น'!D41</f>
        <v>26P260601037-1</v>
      </c>
      <c r="C45" s="16"/>
      <c r="D45" s="59"/>
      <c r="E45" s="61"/>
      <c r="F45" s="61"/>
      <c r="G45" s="61"/>
      <c r="H45" s="61"/>
      <c r="I45" s="62"/>
    </row>
    <row r="46" spans="1:9" ht="13.5" customHeight="1" thickBot="1">
      <c r="A46" s="17">
        <v>40</v>
      </c>
      <c r="B46" s="6" t="str">
        <f>'ใส่ข้อมูลตัวอย่าง ไม่ต้องปริ้น'!D42</f>
        <v>26N320260601-1</v>
      </c>
      <c r="C46" s="16"/>
      <c r="D46" s="59"/>
      <c r="E46" s="61"/>
      <c r="F46" s="61"/>
      <c r="G46" s="61"/>
      <c r="H46" s="61"/>
      <c r="I46" s="62"/>
    </row>
    <row r="47" spans="1:9" ht="13.5" customHeight="1" thickBot="1">
      <c r="A47" s="17">
        <v>41</v>
      </c>
      <c r="B47" s="6" t="str">
        <f>'ใส่ข้อมูลตัวอย่าง ไม่ต้องปริ้น'!D43</f>
        <v>26P260601038-1</v>
      </c>
      <c r="C47" s="16"/>
      <c r="D47" s="59"/>
      <c r="E47" s="61"/>
      <c r="F47" s="61"/>
      <c r="G47" s="61"/>
      <c r="H47" s="61"/>
      <c r="I47" s="62"/>
    </row>
    <row r="48" spans="1:9" ht="13.5" customHeight="1" thickBot="1">
      <c r="A48" s="17">
        <v>42</v>
      </c>
      <c r="B48" s="6" t="str">
        <f>'ใส่ข้อมูลตัวอย่าง ไม่ต้องปริ้น'!D44</f>
        <v>26P260601039-1</v>
      </c>
      <c r="C48" s="16"/>
      <c r="D48" s="59"/>
      <c r="E48" s="61"/>
      <c r="F48" s="61"/>
      <c r="G48" s="61"/>
      <c r="H48" s="61"/>
      <c r="I48" s="62"/>
    </row>
    <row r="49" spans="1:9" ht="13.5" customHeight="1" thickBot="1">
      <c r="A49" s="17">
        <v>43</v>
      </c>
      <c r="B49" s="6" t="str">
        <f>'ใส่ข้อมูลตัวอย่าง ไม่ต้องปริ้น'!D45</f>
        <v>26P260601040-1</v>
      </c>
      <c r="C49" s="16"/>
      <c r="D49" s="59"/>
      <c r="E49" s="61"/>
      <c r="F49" s="61"/>
      <c r="G49" s="61"/>
      <c r="H49" s="61"/>
      <c r="I49" s="62"/>
    </row>
    <row r="50" spans="1:9" ht="13.5" customHeight="1" thickBot="1">
      <c r="A50" s="17">
        <v>44</v>
      </c>
      <c r="B50" s="6" t="str">
        <f>'ใส่ข้อมูลตัวอย่าง ไม่ต้องปริ้น'!D46</f>
        <v>26P260601041-1</v>
      </c>
      <c r="C50" s="16"/>
      <c r="D50" s="59"/>
      <c r="E50" s="61"/>
      <c r="F50" s="61"/>
      <c r="G50" s="61"/>
      <c r="H50" s="61"/>
      <c r="I50" s="62"/>
    </row>
    <row r="51" spans="1:9" ht="13.5" customHeight="1" thickBot="1">
      <c r="A51" s="17">
        <v>45</v>
      </c>
      <c r="B51" s="6" t="str">
        <f>'ใส่ข้อมูลตัวอย่าง ไม่ต้องปริ้น'!D47</f>
        <v>26P260601042-2</v>
      </c>
      <c r="C51" s="16"/>
      <c r="D51" s="59"/>
      <c r="E51" s="61"/>
      <c r="F51" s="61"/>
      <c r="G51" s="61"/>
      <c r="H51" s="61"/>
      <c r="I51" s="62"/>
    </row>
    <row r="52" spans="1:9" ht="13.5" customHeight="1" thickBot="1">
      <c r="A52" s="17">
        <v>46</v>
      </c>
      <c r="B52" s="6" t="str">
        <f>'ใส่ข้อมูลตัวอย่าง ไม่ต้องปริ้น'!D48</f>
        <v>26P260601043-2</v>
      </c>
      <c r="C52" s="16"/>
      <c r="D52" s="59"/>
      <c r="E52" s="61"/>
      <c r="F52" s="61"/>
      <c r="G52" s="61"/>
      <c r="H52" s="61"/>
      <c r="I52" s="62"/>
    </row>
    <row r="53" spans="1:9" ht="13.5" customHeight="1" thickBot="1">
      <c r="A53" s="17">
        <v>47</v>
      </c>
      <c r="B53" s="6" t="str">
        <f>'ใส่ข้อมูลตัวอย่าง ไม่ต้องปริ้น'!D49</f>
        <v>26P260601044-2</v>
      </c>
      <c r="C53" s="16"/>
      <c r="D53" s="59"/>
      <c r="E53" s="61"/>
      <c r="F53" s="61"/>
      <c r="G53" s="61"/>
      <c r="H53" s="61"/>
      <c r="I53" s="62"/>
    </row>
    <row r="54" spans="1:9" ht="13.5" customHeight="1" thickBot="1">
      <c r="A54" s="18">
        <v>48</v>
      </c>
      <c r="B54" s="6" t="str">
        <f>'ใส่ข้อมูลตัวอย่าง ไม่ต้องปริ้น'!D50</f>
        <v>26P260601045-2</v>
      </c>
      <c r="C54" s="16"/>
      <c r="D54" s="60"/>
      <c r="E54" s="63"/>
      <c r="F54" s="63"/>
      <c r="G54" s="63"/>
      <c r="H54" s="63"/>
      <c r="I54" s="64"/>
    </row>
    <row r="55" spans="1:9" ht="14.25" customHeight="1"/>
  </sheetData>
  <mergeCells count="29">
    <mergeCell ref="D25:I25"/>
    <mergeCell ref="D32:I32"/>
    <mergeCell ref="D33:I33"/>
    <mergeCell ref="D34:I34"/>
    <mergeCell ref="D26:I26"/>
    <mergeCell ref="D18:I19"/>
    <mergeCell ref="D20:I21"/>
    <mergeCell ref="D22:I23"/>
    <mergeCell ref="D5:I7"/>
    <mergeCell ref="E11:E12"/>
    <mergeCell ref="F11:F12"/>
    <mergeCell ref="G11:G12"/>
    <mergeCell ref="H11:H12"/>
    <mergeCell ref="D16:I17"/>
    <mergeCell ref="D14:I14"/>
    <mergeCell ref="E10:F10"/>
    <mergeCell ref="G10:H10"/>
    <mergeCell ref="D8:I8"/>
    <mergeCell ref="D9:I9"/>
    <mergeCell ref="D15:I15"/>
    <mergeCell ref="F3:F4"/>
    <mergeCell ref="D3:E4"/>
    <mergeCell ref="A5:A6"/>
    <mergeCell ref="B5:B6"/>
    <mergeCell ref="C3:C4"/>
    <mergeCell ref="C5:C6"/>
    <mergeCell ref="A1:B4"/>
    <mergeCell ref="C1:I2"/>
    <mergeCell ref="G3:I4"/>
  </mergeCells>
  <phoneticPr fontId="61" type="noConversion"/>
  <conditionalFormatting sqref="B7:B54">
    <cfRule type="duplicateValues" dxfId="2" priority="13"/>
  </conditionalFormatting>
  <conditionalFormatting sqref="C7:C54">
    <cfRule type="cellIs" dxfId="1" priority="1" operator="lessThan">
      <formula>1</formula>
    </cfRule>
  </conditionalFormatting>
  <pageMargins left="0.69930555555555596" right="0.69930555555555596" top="0.75" bottom="0.75" header="0.3" footer="0.3"/>
  <pageSetup paperSize="9" scale="6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1106"/>
  <sheetViews>
    <sheetView view="pageBreakPreview" zoomScale="131" zoomScaleNormal="100" zoomScaleSheetLayoutView="131" workbookViewId="0">
      <selection activeCell="D8" sqref="D8:F9"/>
    </sheetView>
  </sheetViews>
  <sheetFormatPr defaultColWidth="9" defaultRowHeight="14"/>
  <cols>
    <col min="1" max="1" width="18.453125" style="1" bestFit="1" customWidth="1"/>
    <col min="2" max="2" width="14.26953125" style="1" customWidth="1"/>
    <col min="3" max="3" width="22.54296875" style="2" customWidth="1"/>
    <col min="4" max="4" width="18.453125" style="1" bestFit="1" customWidth="1"/>
    <col min="5" max="5" width="9.7265625" style="1" customWidth="1"/>
    <col min="6" max="7" width="16.7265625" style="2" customWidth="1"/>
    <col min="8" max="8" width="15.7265625" style="1" customWidth="1"/>
    <col min="9" max="10" width="8.7265625" style="1" customWidth="1"/>
    <col min="11" max="11" width="10" style="1" customWidth="1"/>
    <col min="12" max="12" width="17.26953125" style="1" customWidth="1"/>
    <col min="13" max="13" width="7.1796875" style="1" customWidth="1"/>
    <col min="14" max="14" width="13.7265625" style="1" customWidth="1"/>
    <col min="15" max="15" width="11.7265625" style="1" customWidth="1"/>
    <col min="16" max="17" width="12.7265625" style="1" customWidth="1"/>
    <col min="18" max="18" width="13.7265625" style="1" customWidth="1"/>
    <col min="19" max="19" width="11.7265625" style="1" customWidth="1"/>
    <col min="20" max="20" width="13" style="1" customWidth="1"/>
    <col min="21" max="16384" width="9" style="1"/>
  </cols>
  <sheetData>
    <row r="1" spans="1:7" ht="11.25" customHeight="1">
      <c r="A1" s="269"/>
      <c r="B1" s="272" t="s">
        <v>18</v>
      </c>
      <c r="C1" s="272"/>
      <c r="D1" s="272"/>
      <c r="E1" s="272"/>
      <c r="F1" s="272"/>
      <c r="G1" s="1"/>
    </row>
    <row r="2" spans="1:7" ht="8.25" customHeight="1" thickBot="1">
      <c r="A2" s="270"/>
      <c r="B2" s="273"/>
      <c r="C2" s="273"/>
      <c r="D2" s="273"/>
      <c r="E2" s="273"/>
      <c r="F2" s="273"/>
      <c r="G2" s="1"/>
    </row>
    <row r="3" spans="1:7" ht="9.75" customHeight="1">
      <c r="A3" s="270"/>
      <c r="B3" s="282" t="s">
        <v>121</v>
      </c>
      <c r="C3" s="285" t="s">
        <v>153</v>
      </c>
      <c r="D3" s="288" t="s">
        <v>123</v>
      </c>
      <c r="E3" s="289"/>
      <c r="F3" s="290"/>
      <c r="G3" s="1"/>
    </row>
    <row r="4" spans="1:7" ht="7.5" customHeight="1">
      <c r="A4" s="270"/>
      <c r="B4" s="283"/>
      <c r="C4" s="286"/>
      <c r="D4" s="288"/>
      <c r="E4" s="289"/>
      <c r="F4" s="290"/>
      <c r="G4" s="1"/>
    </row>
    <row r="5" spans="1:7" ht="15.75" customHeight="1" thickBot="1">
      <c r="A5" s="271"/>
      <c r="B5" s="284"/>
      <c r="C5" s="287"/>
      <c r="D5" s="288"/>
      <c r="E5" s="289"/>
      <c r="F5" s="290"/>
      <c r="G5" s="1"/>
    </row>
    <row r="6" spans="1:7" ht="13.5" customHeight="1" thickBot="1">
      <c r="A6" s="54" t="s">
        <v>19</v>
      </c>
      <c r="B6" s="302">
        <v>16</v>
      </c>
      <c r="C6" s="303"/>
      <c r="D6" s="274" t="s">
        <v>118</v>
      </c>
      <c r="E6" s="275"/>
      <c r="F6" s="275"/>
      <c r="G6" s="1"/>
    </row>
    <row r="7" spans="1:7" ht="14.5" thickBot="1">
      <c r="A7" s="3" t="s">
        <v>17</v>
      </c>
      <c r="B7" s="4" t="s">
        <v>20</v>
      </c>
      <c r="C7" s="5" t="s">
        <v>21</v>
      </c>
      <c r="D7" s="276"/>
      <c r="E7" s="277"/>
      <c r="F7" s="277"/>
      <c r="G7" s="1"/>
    </row>
    <row r="8" spans="1:7">
      <c r="A8" s="6" t="str">
        <f>'ใส่ข้อมูลตัวอย่าง ไม่ต้องปริ้น'!D3</f>
        <v>26N120260601-1</v>
      </c>
      <c r="B8" s="7" t="str">
        <f>IF('QC measurements'!C7="","",(160/COUNTA('QC measurements'!$C$7:$C$54)*$B$6/'QC measurements'!C7))</f>
        <v/>
      </c>
      <c r="C8" s="8">
        <f>SUM(B8:B55)</f>
        <v>0</v>
      </c>
      <c r="D8" s="278" t="s">
        <v>167</v>
      </c>
      <c r="E8" s="279"/>
      <c r="F8" s="279"/>
      <c r="G8" s="1"/>
    </row>
    <row r="9" spans="1:7">
      <c r="A9" s="6" t="str">
        <f>'ใส่ข้อมูลตัวอย่าง ไม่ต้องปริ้น'!D4</f>
        <v>26P260601001-1</v>
      </c>
      <c r="B9" s="7" t="str">
        <f>IF('QC measurements'!C8="","",(160/COUNTA('QC measurements'!$C$7:$C$54)*$B$6/'QC measurements'!C8))</f>
        <v/>
      </c>
      <c r="C9" s="10" t="s">
        <v>22</v>
      </c>
      <c r="D9" s="228"/>
      <c r="E9" s="229"/>
      <c r="F9" s="229"/>
      <c r="G9" s="1"/>
    </row>
    <row r="10" spans="1:7">
      <c r="A10" s="6" t="str">
        <f>'ใส่ข้อมูลตัวอย่าง ไม่ต้องปริ้น'!D5</f>
        <v>26B260601002-1</v>
      </c>
      <c r="B10" s="7" t="str">
        <f>IF('QC measurements'!C9="","",(160/COUNTA('QC measurements'!$C$7:$C$54)*$B$6/'QC measurements'!C9))</f>
        <v/>
      </c>
      <c r="C10" s="11">
        <f>48*B6</f>
        <v>768</v>
      </c>
      <c r="D10" s="225" t="s">
        <v>168</v>
      </c>
      <c r="E10" s="226"/>
      <c r="F10" s="226"/>
      <c r="G10" s="1"/>
    </row>
    <row r="11" spans="1:7">
      <c r="A11" s="6" t="str">
        <f>'ใส่ข้อมูลตัวอย่าง ไม่ต้องปริ้น'!D6</f>
        <v>26B260601003-1</v>
      </c>
      <c r="B11" s="7" t="str">
        <f>IF('QC measurements'!C10="","",(160/COUNTA('QC measurements'!$C$7:$C$54)*$B$6/'QC measurements'!C10))</f>
        <v/>
      </c>
      <c r="C11" s="10" t="s">
        <v>175</v>
      </c>
      <c r="D11" s="228"/>
      <c r="E11" s="229"/>
      <c r="F11" s="229"/>
      <c r="G11" s="1"/>
    </row>
    <row r="12" spans="1:7">
      <c r="A12" s="6" t="str">
        <f>'ใส่ข้อมูลตัวอย่าง ไม่ต้องปริ้น'!D7</f>
        <v>26B260601004-1</v>
      </c>
      <c r="B12" s="7" t="str">
        <f>IF('QC measurements'!C11="","",(160/COUNTA('QC measurements'!$C$7:$C$54)*$B$6/'QC measurements'!C11))</f>
        <v/>
      </c>
      <c r="C12" s="300">
        <f>C10-C8</f>
        <v>768</v>
      </c>
      <c r="D12" s="298" t="s">
        <v>213</v>
      </c>
      <c r="E12" s="299"/>
      <c r="F12" s="299"/>
      <c r="G12" s="1"/>
    </row>
    <row r="13" spans="1:7" ht="14.5" thickBot="1">
      <c r="A13" s="6" t="str">
        <f>'ใส่ข้อมูลตัวอย่าง ไม่ต้องปริ้น'!D8</f>
        <v>26B260601005-1</v>
      </c>
      <c r="B13" s="7" t="str">
        <f>IF('QC measurements'!C12="","",(160/COUNTA('QC measurements'!$C$7:$C$54)*$B$6/'QC measurements'!C12))</f>
        <v/>
      </c>
      <c r="C13" s="301"/>
      <c r="D13" s="298"/>
      <c r="E13" s="299"/>
      <c r="F13" s="299"/>
      <c r="G13" s="1"/>
    </row>
    <row r="14" spans="1:7" ht="14.5" customHeight="1" thickBot="1">
      <c r="A14" s="6" t="str">
        <f>'ใส่ข้อมูลตัวอย่าง ไม่ต้องปริ้น'!D9</f>
        <v>26B260601006-1</v>
      </c>
      <c r="B14" s="9" t="str">
        <f>IF('QC measurements'!C13="","",(160/COUNTA('QC measurements'!$C$7:$C$54)*$B$6/'QC measurements'!C13))</f>
        <v/>
      </c>
      <c r="C14" s="311" t="s">
        <v>119</v>
      </c>
      <c r="D14" s="312"/>
      <c r="E14" s="293"/>
      <c r="F14" s="293"/>
      <c r="G14" s="1"/>
    </row>
    <row r="15" spans="1:7" ht="17.5" customHeight="1" thickBot="1">
      <c r="A15" s="6" t="str">
        <f>'ใส่ข้อมูลตัวอย่าง ไม่ต้องปริ้น'!D10</f>
        <v>26B260601007-1</v>
      </c>
      <c r="B15" s="9" t="str">
        <f>IF('QC measurements'!C14="","",(160/COUNTA('QC measurements'!$C$7:$C$54)*$B$6/'QC measurements'!C14))</f>
        <v/>
      </c>
      <c r="C15" s="291" t="s">
        <v>190</v>
      </c>
      <c r="D15" s="292"/>
      <c r="E15" s="293"/>
      <c r="F15" s="293"/>
      <c r="G15" s="1"/>
    </row>
    <row r="16" spans="1:7">
      <c r="A16" s="6" t="str">
        <f>'ใส่ข้อมูลตัวอย่าง ไม่ต้องปริ้น'!D11</f>
        <v>26B260601008-1</v>
      </c>
      <c r="B16" s="7" t="str">
        <f>IF('QC measurements'!C15="","",(160/COUNTA('QC measurements'!$C$7:$C$54)*$B$6/'QC measurements'!C15))</f>
        <v/>
      </c>
      <c r="C16" s="304" t="s">
        <v>126</v>
      </c>
      <c r="D16" s="305"/>
      <c r="E16" s="306"/>
      <c r="F16" s="306"/>
      <c r="G16" s="1"/>
    </row>
    <row r="17" spans="1:7">
      <c r="A17" s="6" t="str">
        <f>'ใส่ข้อมูลตัวอย่าง ไม่ต้องปริ้น'!D12</f>
        <v>26B260601009-1</v>
      </c>
      <c r="B17" s="7" t="str">
        <f>IF('QC measurements'!C16="","",(160/COUNTA('QC measurements'!$C$7:$C$54)*$B$6/'QC measurements'!C16))</f>
        <v/>
      </c>
      <c r="C17" s="294" t="s">
        <v>155</v>
      </c>
      <c r="D17" s="295"/>
      <c r="E17" s="295"/>
      <c r="F17" s="295"/>
      <c r="G17" s="1"/>
    </row>
    <row r="18" spans="1:7">
      <c r="A18" s="6" t="str">
        <f>'ใส่ข้อมูลตัวอย่าง ไม่ต้องปริ้น'!D13</f>
        <v>26B260601010-1</v>
      </c>
      <c r="B18" s="7" t="str">
        <f>IF('QC measurements'!C17="","",(160/COUNTA('QC measurements'!$C$7:$C$54)*$B$6/'QC measurements'!C17))</f>
        <v/>
      </c>
      <c r="C18" s="294"/>
      <c r="D18" s="295"/>
      <c r="E18" s="295"/>
      <c r="F18" s="295"/>
      <c r="G18" s="1"/>
    </row>
    <row r="19" spans="1:7">
      <c r="A19" s="6" t="str">
        <f>'ใส่ข้อมูลตัวอย่าง ไม่ต้องปริ้น'!D14</f>
        <v>26B260601011-1</v>
      </c>
      <c r="B19" s="7" t="str">
        <f>IF('QC measurements'!C18="","",(160/COUNTA('QC measurements'!$C$7:$C$54)*$B$6/'QC measurements'!C18))</f>
        <v/>
      </c>
      <c r="C19" s="296" t="s">
        <v>178</v>
      </c>
      <c r="D19" s="297"/>
      <c r="E19" s="297"/>
      <c r="F19" s="297"/>
      <c r="G19" s="1"/>
    </row>
    <row r="20" spans="1:7">
      <c r="A20" s="6" t="str">
        <f>'ใส่ข้อมูลตัวอย่าง ไม่ต้องปริ้น'!D15</f>
        <v>26B260601012-1</v>
      </c>
      <c r="B20" s="7" t="str">
        <f>IF('QC measurements'!C19="","",(160/COUNTA('QC measurements'!$C$7:$C$54)*$B$6/'QC measurements'!C19))</f>
        <v/>
      </c>
      <c r="C20" s="296" t="s">
        <v>179</v>
      </c>
      <c r="D20" s="297"/>
      <c r="E20" s="297"/>
      <c r="F20" s="297"/>
      <c r="G20" s="1"/>
    </row>
    <row r="21" spans="1:7">
      <c r="A21" s="6" t="str">
        <f>'ใส่ข้อมูลตัวอย่าง ไม่ต้องปริ้น'!D16</f>
        <v>26B260601013-1</v>
      </c>
      <c r="B21" s="7" t="str">
        <f>IF('QC measurements'!C20="","",(160/COUNTA('QC measurements'!$C$7:$C$54)*$B$6/'QC measurements'!C20))</f>
        <v/>
      </c>
      <c r="C21" s="307" t="s">
        <v>176</v>
      </c>
      <c r="D21" s="308"/>
      <c r="E21" s="308"/>
      <c r="F21" s="308"/>
      <c r="G21" s="1"/>
    </row>
    <row r="22" spans="1:7">
      <c r="A22" s="6" t="str">
        <f>'ใส่ข้อมูลตัวอย่าง ไม่ต้องปริ้น'!D17</f>
        <v>26B260601014-1</v>
      </c>
      <c r="B22" s="7" t="str">
        <f>IF('QC measurements'!C21="","",(160/COUNTA('QC measurements'!$C$7:$C$54)*$B$6/'QC measurements'!C21))</f>
        <v/>
      </c>
      <c r="C22" s="280" t="s">
        <v>180</v>
      </c>
      <c r="D22" s="281"/>
      <c r="E22" s="281"/>
      <c r="F22" s="281"/>
      <c r="G22" s="1"/>
    </row>
    <row r="23" spans="1:7">
      <c r="A23" s="6" t="str">
        <f>'ใส่ข้อมูลตัวอย่าง ไม่ต้องปริ้น'!D18</f>
        <v>26B260601015-1</v>
      </c>
      <c r="B23" s="7" t="str">
        <f>IF('QC measurements'!C22="","",(160/COUNTA('QC measurements'!$C$7:$C$54)*$B$6/'QC measurements'!C22))</f>
        <v/>
      </c>
      <c r="C23" s="307" t="s">
        <v>177</v>
      </c>
      <c r="D23" s="308"/>
      <c r="E23" s="308"/>
      <c r="F23" s="308"/>
      <c r="G23" s="1"/>
    </row>
    <row r="24" spans="1:7">
      <c r="A24" s="6" t="str">
        <f>'ใส่ข้อมูลตัวอย่าง ไม่ต้องปริ้น'!D19</f>
        <v>26B260601016-1</v>
      </c>
      <c r="B24" s="7" t="str">
        <f>IF('QC measurements'!C23="","",(160/COUNTA('QC measurements'!$C$7:$C$54)*$B$6/'QC measurements'!C23))</f>
        <v/>
      </c>
      <c r="C24" s="307" t="s">
        <v>181</v>
      </c>
      <c r="D24" s="308"/>
      <c r="E24" s="308"/>
      <c r="F24" s="308"/>
      <c r="G24" s="1"/>
    </row>
    <row r="25" spans="1:7">
      <c r="A25" s="6" t="str">
        <f>'ใส่ข้อมูลตัวอย่าง ไม่ต้องปริ้น'!D20</f>
        <v>26B260601017-1</v>
      </c>
      <c r="B25" s="7" t="str">
        <f>IF('QC measurements'!C24="","",(160/COUNTA('QC measurements'!$C$7:$C$54)*$B$6/'QC measurements'!C24))</f>
        <v/>
      </c>
      <c r="C25" s="316" t="s">
        <v>182</v>
      </c>
      <c r="D25" s="317"/>
      <c r="E25" s="317"/>
      <c r="F25" s="317"/>
      <c r="G25" s="1"/>
    </row>
    <row r="26" spans="1:7">
      <c r="A26" s="6" t="str">
        <f>'ใส่ข้อมูลตัวอย่าง ไม่ต้องปริ้น'!D21</f>
        <v>26B260601018-1</v>
      </c>
      <c r="B26" s="7" t="str">
        <f>IF('QC measurements'!C25="","",(160/COUNTA('QC measurements'!$C$7:$C$54)*$B$6/'QC measurements'!C25))</f>
        <v/>
      </c>
      <c r="C26" s="260" t="s">
        <v>183</v>
      </c>
      <c r="D26" s="261"/>
      <c r="E26" s="261"/>
      <c r="F26" s="261"/>
      <c r="G26" s="1"/>
    </row>
    <row r="27" spans="1:7">
      <c r="A27" s="6" t="str">
        <f>'ใส่ข้อมูลตัวอย่าง ไม่ต้องปริ้น'!D22</f>
        <v>26B260601019-1</v>
      </c>
      <c r="B27" s="7" t="str">
        <f>IF('QC measurements'!C26="","",(160/COUNTA('QC measurements'!$C$7:$C$54)*$B$6/'QC measurements'!C26))</f>
        <v/>
      </c>
      <c r="C27" s="315" t="s">
        <v>166</v>
      </c>
      <c r="D27" s="256"/>
      <c r="E27" s="255" t="s">
        <v>158</v>
      </c>
      <c r="F27" s="256"/>
      <c r="G27" s="1"/>
    </row>
    <row r="28" spans="1:7" ht="14.5" customHeight="1">
      <c r="A28" s="6" t="str">
        <f>'ใส่ข้อมูลตัวอย่าง ไม่ต้องปริ้น'!D23</f>
        <v>26B260601020-1</v>
      </c>
      <c r="B28" s="7" t="str">
        <f>IF('QC measurements'!C27="","",(160/COUNTA('QC measurements'!$C$7:$C$54)*$B$6/'QC measurements'!C27))</f>
        <v/>
      </c>
      <c r="C28" s="313" t="s">
        <v>159</v>
      </c>
      <c r="D28" s="245" t="s">
        <v>160</v>
      </c>
      <c r="E28" s="243" t="s">
        <v>159</v>
      </c>
      <c r="F28" s="243" t="s">
        <v>165</v>
      </c>
      <c r="G28" s="1"/>
    </row>
    <row r="29" spans="1:7" ht="14.5" customHeight="1">
      <c r="A29" s="6" t="str">
        <f>'ใส่ข้อมูลตัวอย่าง ไม่ต้องปริ้น'!D24</f>
        <v>26B260601021-1</v>
      </c>
      <c r="B29" s="7" t="str">
        <f>IF('QC measurements'!C28="","",(160/COUNTA('QC measurements'!$C$7:$C$54)*$B$6/'QC measurements'!C28))</f>
        <v/>
      </c>
      <c r="C29" s="314"/>
      <c r="D29" s="246"/>
      <c r="E29" s="244"/>
      <c r="F29" s="244"/>
      <c r="G29" s="1"/>
    </row>
    <row r="30" spans="1:7">
      <c r="A30" s="6" t="str">
        <f>'ใส่ข้อมูลตัวอย่าง ไม่ต้องปริ้น'!D25</f>
        <v>26B260601022-1</v>
      </c>
      <c r="B30" s="7" t="str">
        <f>IF('QC measurements'!C29="","",(160/COUNTA('QC measurements'!$C$7:$C$54)*$B$6/'QC measurements'!C29))</f>
        <v/>
      </c>
      <c r="C30" s="65" t="s">
        <v>161</v>
      </c>
      <c r="D30" s="66" t="s">
        <v>162</v>
      </c>
      <c r="E30" s="65" t="s">
        <v>163</v>
      </c>
      <c r="F30" s="65" t="s">
        <v>164</v>
      </c>
      <c r="G30" s="1"/>
    </row>
    <row r="31" spans="1:7">
      <c r="A31" s="6" t="str">
        <f>'ใส่ข้อมูลตัวอย่าง ไม่ต้องปริ้น'!D26</f>
        <v>26B260601023-1</v>
      </c>
      <c r="B31" s="7" t="str">
        <f>IF('QC measurements'!C30="","",(160/COUNTA('QC measurements'!$C$7:$C$54)*$B$6/'QC measurements'!C30))</f>
        <v/>
      </c>
      <c r="C31" s="65" t="s">
        <v>161</v>
      </c>
      <c r="D31" s="66" t="s">
        <v>162</v>
      </c>
      <c r="E31" s="65" t="s">
        <v>163</v>
      </c>
      <c r="F31" s="65" t="s">
        <v>164</v>
      </c>
      <c r="G31" s="1"/>
    </row>
    <row r="32" spans="1:7">
      <c r="A32" s="6" t="str">
        <f>'ใส่ข้อมูลตัวอย่าง ไม่ต้องปริ้น'!D27</f>
        <v>26N220260601-1</v>
      </c>
      <c r="B32" s="7" t="str">
        <f>IF('QC measurements'!C31="","",(160/COUNTA('QC measurements'!$C$7:$C$54)*$B$6/'QC measurements'!C31))</f>
        <v/>
      </c>
      <c r="C32" s="253" t="s">
        <v>184</v>
      </c>
      <c r="D32" s="254"/>
      <c r="E32" s="254"/>
      <c r="F32" s="254"/>
      <c r="G32" s="1"/>
    </row>
    <row r="33" spans="1:7">
      <c r="A33" s="6" t="str">
        <f>'ใส่ข้อมูลตัวอย่าง ไม่ต้องปริ้น'!D28</f>
        <v>26P260601024-1</v>
      </c>
      <c r="B33" s="7" t="str">
        <f>IF('QC measurements'!C32="","",(160/COUNTA('QC measurements'!$C$7:$C$54)*$B$6/'QC measurements'!C32))</f>
        <v/>
      </c>
      <c r="C33" s="253" t="s">
        <v>169</v>
      </c>
      <c r="D33" s="254"/>
      <c r="E33" s="254"/>
      <c r="F33" s="254"/>
      <c r="G33" s="1"/>
    </row>
    <row r="34" spans="1:7">
      <c r="A34" s="6" t="str">
        <f>'ใส่ข้อมูลตัวอย่าง ไม่ต้องปริ้น'!D29</f>
        <v>26P260601025-1</v>
      </c>
      <c r="B34" s="7" t="str">
        <f>IF('QC measurements'!C33="","",(160/COUNTA('QC measurements'!$C$7:$C$54)*$B$6/'QC measurements'!C33))</f>
        <v/>
      </c>
      <c r="C34" s="253" t="s">
        <v>187</v>
      </c>
      <c r="D34" s="254"/>
      <c r="E34" s="254"/>
      <c r="F34" s="254"/>
      <c r="G34" s="1"/>
    </row>
    <row r="35" spans="1:7">
      <c r="A35" s="6" t="str">
        <f>'ใส่ข้อมูลตัวอย่าง ไม่ต้องปริ้น'!D30</f>
        <v>26P260601026-1</v>
      </c>
      <c r="B35" s="7" t="str">
        <f>IF('QC measurements'!C34="","",(160/COUNTA('QC measurements'!$C$7:$C$54)*$B$6/'QC measurements'!C34))</f>
        <v/>
      </c>
      <c r="C35" s="267" t="s">
        <v>188</v>
      </c>
      <c r="D35" s="268"/>
      <c r="E35" s="268"/>
      <c r="F35" s="268"/>
      <c r="G35" s="1"/>
    </row>
    <row r="36" spans="1:7">
      <c r="A36" s="6" t="str">
        <f>'ใส่ข้อมูลตัวอย่าง ไม่ต้องปริ้น'!D31</f>
        <v>26P260601027-1</v>
      </c>
      <c r="B36" s="7" t="str">
        <f>IF('QC measurements'!C35="","",(160/COUNTA('QC measurements'!$C$7:$C$54)*$B$6/'QC measurements'!C35))</f>
        <v/>
      </c>
      <c r="C36" s="52"/>
      <c r="D36" s="53"/>
      <c r="E36" s="53"/>
      <c r="F36" s="53"/>
      <c r="G36" s="1"/>
    </row>
    <row r="37" spans="1:7" ht="15.65" customHeight="1">
      <c r="A37" s="6" t="str">
        <f>'ใส่ข้อมูลตัวอย่าง ไม่ต้องปริ้น'!D32</f>
        <v>26P260601028-1</v>
      </c>
      <c r="B37" s="7" t="str">
        <f>IF('QC measurements'!C36="","",(160/COUNTA('QC measurements'!$C$7:$C$54)*$B$6/'QC measurements'!C36))</f>
        <v/>
      </c>
      <c r="C37" s="309" t="s">
        <v>189</v>
      </c>
      <c r="D37" s="310"/>
      <c r="E37" s="310"/>
      <c r="F37" s="310"/>
      <c r="G37" s="1"/>
    </row>
    <row r="38" spans="1:7">
      <c r="A38" s="6" t="str">
        <f>'ใส่ข้อมูลตัวอย่าง ไม่ต้องปริ้น'!D33</f>
        <v>26P260601029-1</v>
      </c>
      <c r="B38" s="7" t="str">
        <f>IF('QC measurements'!C37="","",(160/COUNTA('QC measurements'!$C$7:$C$54)*$B$6/'QC measurements'!C37))</f>
        <v/>
      </c>
      <c r="C38" s="52"/>
      <c r="D38" s="53"/>
      <c r="E38" s="53"/>
      <c r="F38" s="53"/>
      <c r="G38" s="1"/>
    </row>
    <row r="39" spans="1:7">
      <c r="A39" s="6" t="str">
        <f>'ใส่ข้อมูลตัวอย่าง ไม่ต้องปริ้น'!D34</f>
        <v>26P260601030-1</v>
      </c>
      <c r="B39" s="7" t="str">
        <f>IF('QC measurements'!C38="","",(160/COUNTA('QC measurements'!$C$7:$C$54)*$B$6/'QC measurements'!C38))</f>
        <v/>
      </c>
      <c r="C39" s="52"/>
      <c r="D39" s="53"/>
      <c r="E39" s="53"/>
      <c r="F39" s="53"/>
      <c r="G39" s="1"/>
    </row>
    <row r="40" spans="1:7">
      <c r="A40" s="6" t="str">
        <f>'ใส่ข้อมูลตัวอย่าง ไม่ต้องปริ้น'!D35</f>
        <v>26P260601031-1</v>
      </c>
      <c r="B40" s="7" t="str">
        <f>IF('QC measurements'!C39="","",(160/COUNTA('QC measurements'!$C$7:$C$54)*$B$6/'QC measurements'!C39))</f>
        <v/>
      </c>
      <c r="C40" s="52"/>
      <c r="D40" s="53"/>
      <c r="E40" s="53"/>
      <c r="F40" s="53"/>
      <c r="G40" s="1"/>
    </row>
    <row r="41" spans="1:7">
      <c r="A41" s="6" t="str">
        <f>'ใส่ข้อมูลตัวอย่าง ไม่ต้องปริ้น'!D36</f>
        <v>26P260601032-1</v>
      </c>
      <c r="B41" s="7" t="str">
        <f>IF('QC measurements'!C40="","",(160/COUNTA('QC measurements'!$C$7:$C$54)*$B$6/'QC measurements'!C40))</f>
        <v/>
      </c>
      <c r="C41" s="52"/>
      <c r="D41" s="53"/>
      <c r="E41" s="53"/>
      <c r="F41" s="53"/>
      <c r="G41" s="1"/>
    </row>
    <row r="42" spans="1:7">
      <c r="A42" s="6" t="str">
        <f>'ใส่ข้อมูลตัวอย่าง ไม่ต้องปริ้น'!D37</f>
        <v>26P260601033-1</v>
      </c>
      <c r="B42" s="7" t="str">
        <f>IF('QC measurements'!C41="","",(160/COUNTA('QC measurements'!$C$7:$C$54)*$B$6/'QC measurements'!C41))</f>
        <v/>
      </c>
      <c r="C42" s="52"/>
      <c r="D42" s="53"/>
      <c r="E42" s="53"/>
      <c r="F42" s="53"/>
      <c r="G42" s="1"/>
    </row>
    <row r="43" spans="1:7">
      <c r="A43" s="6" t="str">
        <f>'ใส่ข้อมูลตัวอย่าง ไม่ต้องปริ้น'!D38</f>
        <v>26P260601034-1</v>
      </c>
      <c r="B43" s="7" t="str">
        <f>IF('QC measurements'!C42="","",(160/COUNTA('QC measurements'!$C$7:$C$54)*$B$6/'QC measurements'!C42))</f>
        <v/>
      </c>
      <c r="C43" s="52"/>
      <c r="D43" s="53"/>
      <c r="E43" s="53"/>
      <c r="F43" s="53"/>
      <c r="G43" s="1"/>
    </row>
    <row r="44" spans="1:7">
      <c r="A44" s="6" t="str">
        <f>'ใส่ข้อมูลตัวอย่าง ไม่ต้องปริ้น'!D39</f>
        <v>26P260601035-1</v>
      </c>
      <c r="B44" s="7" t="str">
        <f>IF('QC measurements'!C43="","",(160/COUNTA('QC measurements'!$C$7:$C$54)*$B$6/'QC measurements'!C43))</f>
        <v/>
      </c>
      <c r="C44" s="52"/>
      <c r="D44" s="53"/>
      <c r="E44" s="53"/>
      <c r="F44" s="53"/>
      <c r="G44" s="1"/>
    </row>
    <row r="45" spans="1:7">
      <c r="A45" s="6" t="str">
        <f>'ใส่ข้อมูลตัวอย่าง ไม่ต้องปริ้น'!D40</f>
        <v>26P260601036-1</v>
      </c>
      <c r="B45" s="7" t="str">
        <f>IF('QC measurements'!C44="","",(160/COUNTA('QC measurements'!$C$7:$C$54)*$B$6/'QC measurements'!C44))</f>
        <v/>
      </c>
      <c r="C45" s="52"/>
      <c r="D45" s="53"/>
      <c r="E45" s="53"/>
      <c r="F45" s="53"/>
      <c r="G45" s="1"/>
    </row>
    <row r="46" spans="1:7">
      <c r="A46" s="6" t="str">
        <f>'ใส่ข้อมูลตัวอย่าง ไม่ต้องปริ้น'!D41</f>
        <v>26P260601037-1</v>
      </c>
      <c r="B46" s="7" t="str">
        <f>IF('QC measurements'!C45="","",(160/COUNTA('QC measurements'!$C$7:$C$54)*$B$6/'QC measurements'!C45))</f>
        <v/>
      </c>
      <c r="C46" s="52"/>
      <c r="D46" s="53"/>
      <c r="E46" s="53"/>
      <c r="F46" s="53"/>
      <c r="G46" s="1"/>
    </row>
    <row r="47" spans="1:7">
      <c r="A47" s="6" t="str">
        <f>'ใส่ข้อมูลตัวอย่าง ไม่ต้องปริ้น'!D42</f>
        <v>26N320260601-1</v>
      </c>
      <c r="B47" s="7" t="str">
        <f>IF('QC measurements'!C46="","",(160/COUNTA('QC measurements'!$C$7:$C$54)*$B$6/'QC measurements'!C46))</f>
        <v/>
      </c>
      <c r="C47" s="52"/>
      <c r="D47" s="53"/>
      <c r="E47" s="53"/>
      <c r="F47" s="53"/>
      <c r="G47" s="1"/>
    </row>
    <row r="48" spans="1:7">
      <c r="A48" s="6" t="str">
        <f>'ใส่ข้อมูลตัวอย่าง ไม่ต้องปริ้น'!D43</f>
        <v>26P260601038-1</v>
      </c>
      <c r="B48" s="7" t="str">
        <f>IF('QC measurements'!C47="","",(160/COUNTA('QC measurements'!$C$7:$C$54)*$B$6/'QC measurements'!C47))</f>
        <v/>
      </c>
      <c r="C48" s="52"/>
      <c r="D48" s="53"/>
      <c r="E48" s="53"/>
      <c r="F48" s="53"/>
      <c r="G48" s="1"/>
    </row>
    <row r="49" spans="1:7">
      <c r="A49" s="6" t="str">
        <f>'ใส่ข้อมูลตัวอย่าง ไม่ต้องปริ้น'!D44</f>
        <v>26P260601039-1</v>
      </c>
      <c r="B49" s="7" t="str">
        <f>IF('QC measurements'!C48="","",(160/COUNTA('QC measurements'!$C$7:$C$54)*$B$6/'QC measurements'!C48))</f>
        <v/>
      </c>
      <c r="C49" s="52"/>
      <c r="D49" s="53"/>
      <c r="E49" s="53"/>
      <c r="F49" s="53"/>
      <c r="G49" s="1"/>
    </row>
    <row r="50" spans="1:7">
      <c r="A50" s="6" t="str">
        <f>'ใส่ข้อมูลตัวอย่าง ไม่ต้องปริ้น'!D45</f>
        <v>26P260601040-1</v>
      </c>
      <c r="B50" s="7" t="str">
        <f>IF('QC measurements'!C49="","",(160/COUNTA('QC measurements'!$C$7:$C$54)*$B$6/'QC measurements'!C49))</f>
        <v/>
      </c>
      <c r="C50" s="52"/>
      <c r="D50" s="53"/>
      <c r="E50" s="53"/>
      <c r="F50" s="53"/>
      <c r="G50" s="1"/>
    </row>
    <row r="51" spans="1:7">
      <c r="A51" s="6" t="str">
        <f>'ใส่ข้อมูลตัวอย่าง ไม่ต้องปริ้น'!D46</f>
        <v>26P260601041-1</v>
      </c>
      <c r="B51" s="7" t="str">
        <f>IF('QC measurements'!C50="","",(160/COUNTA('QC measurements'!$C$7:$C$54)*$B$6/'QC measurements'!C50))</f>
        <v/>
      </c>
      <c r="C51" s="52"/>
      <c r="D51" s="53"/>
      <c r="E51" s="53"/>
      <c r="F51" s="53"/>
      <c r="G51" s="1"/>
    </row>
    <row r="52" spans="1:7">
      <c r="A52" s="6" t="str">
        <f>'ใส่ข้อมูลตัวอย่าง ไม่ต้องปริ้น'!D47</f>
        <v>26P260601042-2</v>
      </c>
      <c r="B52" s="7" t="str">
        <f>IF('QC measurements'!C51="","",(160/COUNTA('QC measurements'!$C$7:$C$54)*$B$6/'QC measurements'!C51))</f>
        <v/>
      </c>
      <c r="C52" s="52"/>
      <c r="D52" s="53"/>
      <c r="E52" s="53"/>
      <c r="F52" s="53"/>
      <c r="G52" s="1"/>
    </row>
    <row r="53" spans="1:7">
      <c r="A53" s="6" t="str">
        <f>'ใส่ข้อมูลตัวอย่าง ไม่ต้องปริ้น'!D48</f>
        <v>26P260601043-2</v>
      </c>
      <c r="B53" s="7" t="str">
        <f>IF('QC measurements'!C52="","",(160/COUNTA('QC measurements'!$C$7:$C$54)*$B$6/'QC measurements'!C52))</f>
        <v/>
      </c>
      <c r="C53" s="52"/>
      <c r="D53" s="53"/>
      <c r="E53" s="53"/>
      <c r="F53" s="53"/>
      <c r="G53" s="1"/>
    </row>
    <row r="54" spans="1:7">
      <c r="A54" s="6" t="str">
        <f>'ใส่ข้อมูลตัวอย่าง ไม่ต้องปริ้น'!D49</f>
        <v>26P260601044-2</v>
      </c>
      <c r="B54" s="7" t="str">
        <f>IF('QC measurements'!C53="","",(160/COUNTA('QC measurements'!$C$7:$C$54)*$B$6/'QC measurements'!C53))</f>
        <v/>
      </c>
      <c r="C54" s="52"/>
      <c r="D54" s="53"/>
      <c r="E54" s="53"/>
      <c r="F54" s="53"/>
      <c r="G54" s="1"/>
    </row>
    <row r="55" spans="1:7" ht="14.5" thickBot="1">
      <c r="A55" s="6" t="str">
        <f>'ใส่ข้อมูลตัวอย่าง ไม่ต้องปริ้น'!D50</f>
        <v>26P260601045-2</v>
      </c>
      <c r="B55" s="12" t="str">
        <f>IF('QC measurements'!C54="","",(160/COUNTA('QC measurements'!$C$7:$C$54)*$B$6/'QC measurements'!C54))</f>
        <v/>
      </c>
      <c r="C55" s="52"/>
      <c r="D55" s="53"/>
      <c r="E55" s="53"/>
      <c r="F55" s="53"/>
      <c r="G55" s="1"/>
    </row>
    <row r="56" spans="1:7">
      <c r="A56" s="13"/>
      <c r="B56" s="13"/>
      <c r="C56" s="13"/>
      <c r="D56" s="13"/>
      <c r="E56" s="13"/>
      <c r="F56" s="13"/>
      <c r="G56" s="1"/>
    </row>
    <row r="57" spans="1:7">
      <c r="A57" s="13"/>
      <c r="B57" s="13"/>
      <c r="C57" s="13"/>
      <c r="D57" s="13"/>
      <c r="E57" s="13"/>
      <c r="F57" s="13"/>
      <c r="G57" s="1"/>
    </row>
    <row r="58" spans="1:7">
      <c r="A58" s="13"/>
      <c r="B58" s="13"/>
      <c r="C58" s="13"/>
      <c r="D58" s="13"/>
      <c r="E58" s="13"/>
      <c r="F58" s="13"/>
      <c r="G58" s="1"/>
    </row>
    <row r="59" spans="1:7">
      <c r="A59" s="13"/>
      <c r="B59" s="13"/>
      <c r="C59" s="13"/>
      <c r="D59" s="13"/>
      <c r="E59" s="13"/>
      <c r="F59" s="13"/>
      <c r="G59" s="1"/>
    </row>
    <row r="60" spans="1:7">
      <c r="A60" s="13"/>
      <c r="B60" s="13"/>
      <c r="C60" s="13"/>
      <c r="D60" s="13"/>
      <c r="E60" s="13"/>
      <c r="F60" s="13"/>
      <c r="G60" s="1"/>
    </row>
    <row r="61" spans="1:7">
      <c r="A61" s="13"/>
      <c r="B61" s="13"/>
      <c r="C61" s="13"/>
      <c r="D61" s="13"/>
      <c r="E61" s="13"/>
      <c r="F61" s="13"/>
      <c r="G61" s="1"/>
    </row>
    <row r="62" spans="1:7">
      <c r="A62" s="13"/>
      <c r="B62" s="13"/>
      <c r="C62" s="13"/>
      <c r="D62" s="13"/>
      <c r="E62" s="13"/>
      <c r="F62" s="13"/>
      <c r="G62" s="1"/>
    </row>
    <row r="63" spans="1:7">
      <c r="A63" s="13"/>
      <c r="B63" s="13"/>
      <c r="C63" s="13"/>
      <c r="D63" s="13"/>
      <c r="E63" s="13"/>
      <c r="F63" s="13"/>
      <c r="G63" s="1"/>
    </row>
    <row r="64" spans="1:7">
      <c r="A64" s="13"/>
      <c r="B64" s="13"/>
      <c r="C64" s="13"/>
      <c r="D64" s="13"/>
      <c r="E64" s="13"/>
      <c r="F64" s="13"/>
      <c r="G64" s="1"/>
    </row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pans="6:7" s="1" customFormat="1"/>
    <row r="354" spans="6:7" s="1" customFormat="1"/>
    <row r="355" spans="6:7" s="1" customFormat="1"/>
    <row r="356" spans="6:7" s="1" customFormat="1"/>
    <row r="357" spans="6:7" s="1" customFormat="1"/>
    <row r="358" spans="6:7" s="1" customFormat="1"/>
    <row r="359" spans="6:7" s="1" customFormat="1"/>
    <row r="360" spans="6:7" s="1" customFormat="1"/>
    <row r="361" spans="6:7" s="1" customFormat="1">
      <c r="F361" s="2"/>
      <c r="G361" s="2"/>
    </row>
    <row r="362" spans="6:7" s="1" customFormat="1">
      <c r="F362" s="2"/>
      <c r="G362" s="2"/>
    </row>
    <row r="363" spans="6:7" s="1" customFormat="1">
      <c r="F363" s="2"/>
      <c r="G363" s="2"/>
    </row>
    <row r="364" spans="6:7" s="1" customFormat="1">
      <c r="F364" s="2"/>
      <c r="G364" s="2"/>
    </row>
    <row r="365" spans="6:7" s="1" customFormat="1">
      <c r="F365" s="2"/>
      <c r="G365" s="2"/>
    </row>
    <row r="366" spans="6:7" s="1" customFormat="1">
      <c r="F366" s="2"/>
      <c r="G366" s="2"/>
    </row>
    <row r="367" spans="6:7" s="1" customFormat="1">
      <c r="F367" s="2"/>
      <c r="G367" s="2"/>
    </row>
    <row r="368" spans="6:7" s="1" customFormat="1">
      <c r="F368" s="2"/>
      <c r="G368" s="2"/>
    </row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  <row r="704" s="1" customFormat="1"/>
    <row r="705" s="1" customFormat="1"/>
    <row r="706" s="1" customFormat="1"/>
    <row r="707" s="1" customFormat="1"/>
    <row r="708" s="1" customFormat="1"/>
    <row r="709" s="1" customFormat="1"/>
    <row r="710" s="1" customFormat="1"/>
    <row r="711" s="1" customFormat="1"/>
    <row r="712" s="1" customFormat="1"/>
    <row r="713" s="1" customFormat="1"/>
    <row r="714" s="1" customFormat="1"/>
    <row r="715" s="1" customFormat="1"/>
    <row r="716" s="1" customFormat="1"/>
    <row r="717" s="1" customFormat="1"/>
    <row r="718" s="1" customFormat="1"/>
    <row r="719" s="1" customFormat="1"/>
    <row r="720" s="1" customFormat="1"/>
    <row r="721" s="1" customFormat="1"/>
    <row r="722" s="1" customFormat="1"/>
    <row r="723" s="1" customFormat="1"/>
    <row r="724" s="1" customFormat="1"/>
    <row r="725" s="1" customFormat="1"/>
    <row r="726" s="1" customFormat="1"/>
    <row r="727" s="1" customFormat="1"/>
    <row r="728" s="1" customFormat="1"/>
    <row r="729" s="1" customFormat="1"/>
    <row r="730" s="1" customFormat="1"/>
    <row r="731" s="1" customFormat="1"/>
    <row r="732" s="1" customFormat="1"/>
    <row r="733" s="1" customFormat="1"/>
    <row r="734" s="1" customFormat="1"/>
    <row r="735" s="1" customFormat="1"/>
    <row r="736" s="1" customFormat="1"/>
    <row r="737" s="1" customFormat="1"/>
    <row r="738" s="1" customFormat="1"/>
    <row r="739" s="1" customFormat="1"/>
    <row r="740" s="1" customFormat="1"/>
    <row r="741" s="1" customFormat="1"/>
    <row r="742" s="1" customFormat="1"/>
    <row r="743" s="1" customFormat="1"/>
    <row r="744" s="1" customFormat="1"/>
    <row r="745" s="1" customFormat="1"/>
    <row r="746" s="1" customFormat="1"/>
    <row r="747" s="1" customFormat="1"/>
    <row r="748" s="1" customFormat="1"/>
    <row r="749" s="1" customFormat="1"/>
    <row r="750" s="1" customFormat="1"/>
    <row r="751" s="1" customFormat="1"/>
    <row r="752" s="1" customFormat="1"/>
    <row r="753" s="1" customFormat="1"/>
    <row r="754" s="1" customFormat="1"/>
    <row r="755" s="1" customFormat="1"/>
    <row r="756" s="1" customFormat="1"/>
    <row r="757" s="1" customFormat="1"/>
    <row r="758" s="1" customFormat="1"/>
    <row r="759" s="1" customFormat="1"/>
    <row r="760" s="1" customFormat="1"/>
    <row r="761" s="1" customFormat="1"/>
    <row r="762" s="1" customFormat="1"/>
    <row r="763" s="1" customFormat="1"/>
    <row r="764" s="1" customFormat="1"/>
    <row r="765" s="1" customFormat="1"/>
    <row r="766" s="1" customFormat="1"/>
    <row r="767" s="1" customFormat="1"/>
    <row r="768" s="1" customFormat="1"/>
    <row r="769" s="1" customFormat="1"/>
    <row r="770" s="1" customFormat="1"/>
    <row r="771" s="1" customFormat="1"/>
    <row r="772" s="1" customFormat="1"/>
    <row r="773" s="1" customFormat="1"/>
    <row r="774" s="1" customFormat="1"/>
    <row r="775" s="1" customFormat="1"/>
    <row r="776" s="1" customFormat="1"/>
    <row r="777" s="1" customFormat="1"/>
    <row r="778" s="1" customFormat="1"/>
    <row r="779" s="1" customFormat="1"/>
    <row r="780" s="1" customFormat="1"/>
    <row r="781" s="1" customFormat="1"/>
    <row r="782" s="1" customFormat="1"/>
    <row r="783" s="1" customFormat="1"/>
    <row r="784" s="1" customFormat="1"/>
    <row r="785" s="1" customFormat="1"/>
    <row r="786" s="1" customFormat="1"/>
    <row r="787" s="1" customFormat="1"/>
    <row r="788" s="1" customFormat="1"/>
    <row r="789" s="1" customFormat="1"/>
    <row r="790" s="1" customFormat="1"/>
    <row r="791" s="1" customFormat="1"/>
    <row r="792" s="1" customFormat="1"/>
    <row r="793" s="1" customFormat="1"/>
    <row r="794" s="1" customFormat="1"/>
    <row r="795" s="1" customFormat="1"/>
    <row r="796" s="1" customFormat="1"/>
    <row r="797" s="1" customFormat="1"/>
    <row r="798" s="1" customFormat="1"/>
    <row r="799" s="1" customFormat="1"/>
    <row r="800" s="1" customFormat="1"/>
    <row r="801" s="1" customFormat="1"/>
    <row r="802" s="1" customFormat="1"/>
    <row r="803" s="1" customFormat="1"/>
    <row r="804" s="1" customFormat="1"/>
    <row r="805" s="1" customFormat="1"/>
    <row r="806" s="1" customFormat="1"/>
    <row r="807" s="1" customFormat="1"/>
    <row r="808" s="1" customFormat="1"/>
    <row r="809" s="1" customFormat="1"/>
    <row r="810" s="1" customFormat="1"/>
    <row r="811" s="1" customFormat="1"/>
    <row r="812" s="1" customFormat="1"/>
    <row r="813" s="1" customFormat="1"/>
    <row r="814" s="1" customFormat="1"/>
    <row r="815" s="1" customFormat="1"/>
    <row r="816" s="1" customFormat="1"/>
    <row r="817" s="1" customFormat="1"/>
    <row r="818" s="1" customFormat="1"/>
    <row r="819" s="1" customFormat="1"/>
    <row r="820" s="1" customFormat="1"/>
    <row r="821" s="1" customFormat="1"/>
    <row r="822" s="1" customFormat="1"/>
    <row r="823" s="1" customFormat="1"/>
    <row r="824" s="1" customFormat="1"/>
    <row r="825" s="1" customFormat="1"/>
    <row r="826" s="1" customFormat="1"/>
    <row r="827" s="1" customFormat="1"/>
    <row r="828" s="1" customFormat="1"/>
    <row r="829" s="1" customFormat="1"/>
    <row r="830" s="1" customFormat="1"/>
    <row r="831" s="1" customFormat="1"/>
    <row r="832" s="1" customFormat="1"/>
    <row r="833" s="1" customFormat="1"/>
    <row r="834" s="1" customFormat="1"/>
    <row r="835" s="1" customFormat="1"/>
    <row r="836" s="1" customFormat="1"/>
    <row r="837" s="1" customFormat="1"/>
    <row r="838" s="1" customFormat="1"/>
    <row r="839" s="1" customFormat="1"/>
    <row r="840" s="1" customFormat="1"/>
    <row r="841" s="1" customFormat="1"/>
    <row r="842" s="1" customFormat="1"/>
    <row r="843" s="1" customFormat="1"/>
    <row r="844" s="1" customFormat="1"/>
    <row r="845" s="1" customFormat="1"/>
    <row r="846" s="1" customFormat="1"/>
    <row r="847" s="1" customFormat="1"/>
    <row r="848" s="1" customFormat="1"/>
    <row r="849" s="1" customFormat="1"/>
    <row r="850" s="1" customFormat="1"/>
    <row r="851" s="1" customFormat="1"/>
    <row r="852" s="1" customFormat="1"/>
    <row r="853" s="1" customFormat="1"/>
    <row r="854" s="1" customFormat="1"/>
    <row r="855" s="1" customFormat="1"/>
    <row r="856" s="1" customFormat="1"/>
    <row r="857" s="1" customFormat="1"/>
    <row r="858" s="1" customFormat="1"/>
    <row r="859" s="1" customFormat="1"/>
    <row r="860" s="1" customFormat="1"/>
    <row r="861" s="1" customFormat="1"/>
    <row r="862" s="1" customFormat="1"/>
    <row r="863" s="1" customFormat="1"/>
    <row r="864" s="1" customFormat="1"/>
    <row r="865" s="1" customFormat="1"/>
    <row r="866" s="1" customFormat="1"/>
    <row r="867" s="1" customFormat="1"/>
    <row r="868" s="1" customFormat="1"/>
    <row r="869" s="1" customFormat="1"/>
    <row r="870" s="1" customFormat="1"/>
    <row r="871" s="1" customFormat="1"/>
    <row r="872" s="1" customFormat="1"/>
    <row r="873" s="1" customFormat="1"/>
    <row r="874" s="1" customFormat="1"/>
    <row r="875" s="1" customFormat="1"/>
    <row r="876" s="1" customFormat="1"/>
    <row r="877" s="1" customFormat="1"/>
    <row r="878" s="1" customFormat="1"/>
    <row r="879" s="1" customFormat="1"/>
    <row r="880" s="1" customFormat="1"/>
    <row r="881" s="1" customFormat="1"/>
    <row r="882" s="1" customFormat="1"/>
    <row r="883" s="1" customFormat="1"/>
    <row r="884" s="1" customFormat="1"/>
    <row r="885" s="1" customFormat="1"/>
    <row r="886" s="1" customFormat="1"/>
    <row r="887" s="1" customFormat="1"/>
    <row r="888" s="1" customFormat="1"/>
    <row r="889" s="1" customFormat="1"/>
    <row r="890" s="1" customFormat="1"/>
    <row r="891" s="1" customFormat="1"/>
    <row r="892" s="1" customFormat="1"/>
    <row r="893" s="1" customFormat="1"/>
    <row r="894" s="1" customFormat="1"/>
    <row r="895" s="1" customFormat="1"/>
    <row r="896" s="1" customFormat="1"/>
    <row r="897" s="1" customFormat="1"/>
    <row r="898" s="1" customFormat="1"/>
    <row r="899" s="1" customFormat="1"/>
    <row r="900" s="1" customFormat="1"/>
    <row r="901" s="1" customFormat="1"/>
    <row r="902" s="1" customFormat="1"/>
    <row r="903" s="1" customFormat="1"/>
    <row r="904" s="1" customFormat="1"/>
    <row r="905" s="1" customFormat="1"/>
    <row r="906" s="1" customFormat="1"/>
    <row r="907" s="1" customFormat="1"/>
    <row r="908" s="1" customFormat="1"/>
    <row r="909" s="1" customFormat="1"/>
    <row r="910" s="1" customFormat="1"/>
    <row r="911" s="1" customFormat="1"/>
    <row r="912" s="1" customFormat="1"/>
    <row r="913" s="1" customFormat="1"/>
    <row r="914" s="1" customFormat="1"/>
    <row r="915" s="1" customFormat="1"/>
    <row r="916" s="1" customFormat="1"/>
    <row r="917" s="1" customFormat="1"/>
    <row r="918" s="1" customFormat="1"/>
    <row r="919" s="1" customFormat="1"/>
    <row r="920" s="1" customFormat="1"/>
    <row r="921" s="1" customFormat="1"/>
    <row r="922" s="1" customFormat="1"/>
    <row r="923" s="1" customFormat="1"/>
    <row r="924" s="1" customFormat="1"/>
    <row r="925" s="1" customFormat="1"/>
    <row r="926" s="1" customFormat="1"/>
    <row r="927" s="1" customFormat="1"/>
    <row r="928" s="1" customFormat="1"/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39" s="1" customFormat="1"/>
    <row r="940" s="1" customFormat="1"/>
    <row r="941" s="1" customFormat="1"/>
    <row r="942" s="1" customFormat="1"/>
    <row r="943" s="1" customFormat="1"/>
    <row r="944" s="1" customFormat="1"/>
    <row r="945" s="1" customFormat="1"/>
    <row r="946" s="1" customFormat="1"/>
    <row r="947" s="1" customFormat="1"/>
    <row r="948" s="1" customFormat="1"/>
    <row r="949" s="1" customFormat="1"/>
    <row r="950" s="1" customFormat="1"/>
    <row r="951" s="1" customFormat="1"/>
    <row r="952" s="1" customFormat="1"/>
    <row r="953" s="1" customFormat="1"/>
    <row r="954" s="1" customFormat="1"/>
    <row r="955" s="1" customFormat="1"/>
    <row r="956" s="1" customFormat="1"/>
    <row r="957" s="1" customFormat="1"/>
    <row r="958" s="1" customFormat="1"/>
    <row r="959" s="1" customFormat="1"/>
    <row r="960" s="1" customFormat="1"/>
    <row r="961" s="1" customFormat="1"/>
    <row r="962" s="1" customFormat="1"/>
    <row r="963" s="1" customFormat="1"/>
    <row r="964" s="1" customFormat="1"/>
    <row r="965" s="1" customFormat="1"/>
    <row r="966" s="1" customFormat="1"/>
    <row r="967" s="1" customFormat="1"/>
    <row r="968" s="1" customFormat="1"/>
    <row r="969" s="1" customFormat="1"/>
    <row r="970" s="1" customFormat="1"/>
    <row r="971" s="1" customFormat="1"/>
    <row r="972" s="1" customFormat="1"/>
    <row r="973" s="1" customFormat="1"/>
    <row r="974" s="1" customFormat="1"/>
    <row r="975" s="1" customFormat="1"/>
    <row r="976" s="1" customFormat="1"/>
    <row r="977" s="1" customFormat="1"/>
    <row r="978" s="1" customFormat="1"/>
    <row r="979" s="1" customFormat="1"/>
    <row r="980" s="1" customFormat="1"/>
    <row r="981" s="1" customFormat="1"/>
    <row r="982" s="1" customFormat="1"/>
    <row r="983" s="1" customFormat="1"/>
    <row r="984" s="1" customFormat="1"/>
    <row r="985" s="1" customFormat="1"/>
    <row r="986" s="1" customFormat="1"/>
    <row r="987" s="1" customFormat="1"/>
    <row r="988" s="1" customFormat="1"/>
    <row r="989" s="1" customFormat="1"/>
    <row r="990" s="1" customFormat="1"/>
    <row r="991" s="1" customFormat="1"/>
    <row r="992" s="1" customFormat="1"/>
    <row r="993" s="1" customFormat="1"/>
    <row r="994" s="1" customFormat="1"/>
    <row r="995" s="1" customFormat="1"/>
    <row r="996" s="1" customFormat="1"/>
    <row r="997" s="1" customFormat="1"/>
    <row r="998" s="1" customFormat="1"/>
    <row r="999" s="1" customFormat="1"/>
    <row r="1000" s="1" customFormat="1"/>
    <row r="1001" s="1" customFormat="1"/>
    <row r="1002" s="1" customFormat="1"/>
    <row r="1003" s="1" customFormat="1"/>
    <row r="1004" s="1" customFormat="1"/>
    <row r="1005" s="1" customFormat="1"/>
    <row r="1006" s="1" customFormat="1"/>
    <row r="1007" s="1" customFormat="1"/>
    <row r="1008" s="1" customFormat="1"/>
    <row r="1009" s="1" customFormat="1"/>
    <row r="1010" s="1" customFormat="1"/>
    <row r="1011" s="1" customFormat="1"/>
    <row r="1012" s="1" customFormat="1"/>
    <row r="1013" s="1" customFormat="1"/>
    <row r="1014" s="1" customFormat="1"/>
    <row r="1015" s="1" customFormat="1"/>
    <row r="1016" s="1" customFormat="1"/>
    <row r="1017" s="1" customFormat="1"/>
    <row r="1018" s="1" customFormat="1"/>
    <row r="1019" s="1" customFormat="1"/>
    <row r="1020" s="1" customFormat="1"/>
    <row r="1021" s="1" customFormat="1"/>
    <row r="1022" s="1" customFormat="1"/>
    <row r="1023" s="1" customFormat="1"/>
    <row r="1024" s="1" customFormat="1"/>
    <row r="1025" s="1" customFormat="1"/>
    <row r="1026" s="1" customFormat="1"/>
    <row r="1027" s="1" customFormat="1"/>
    <row r="1028" s="1" customFormat="1"/>
    <row r="1029" s="1" customFormat="1"/>
    <row r="1030" s="1" customFormat="1"/>
    <row r="1031" s="1" customFormat="1"/>
    <row r="1032" s="1" customFormat="1"/>
    <row r="1033" s="1" customFormat="1"/>
    <row r="1034" s="1" customFormat="1"/>
    <row r="1035" s="1" customFormat="1"/>
    <row r="1036" s="1" customFormat="1"/>
    <row r="1037" s="1" customFormat="1"/>
    <row r="1038" s="1" customFormat="1"/>
    <row r="1039" s="1" customFormat="1"/>
    <row r="1040" s="1" customFormat="1"/>
    <row r="1041" s="1" customFormat="1"/>
    <row r="1042" s="1" customFormat="1"/>
    <row r="1043" s="1" customFormat="1"/>
    <row r="1044" s="1" customFormat="1"/>
    <row r="1045" s="1" customFormat="1"/>
    <row r="1046" s="1" customFormat="1"/>
    <row r="1047" s="1" customFormat="1"/>
    <row r="1048" s="1" customFormat="1"/>
    <row r="1049" s="1" customFormat="1"/>
    <row r="1050" s="1" customFormat="1"/>
    <row r="1051" s="1" customFormat="1"/>
    <row r="1052" s="1" customFormat="1"/>
    <row r="1053" s="1" customFormat="1"/>
    <row r="1054" s="1" customFormat="1"/>
    <row r="1055" s="1" customFormat="1"/>
    <row r="1056" s="1" customFormat="1"/>
    <row r="1057" s="1" customFormat="1"/>
    <row r="1058" s="1" customFormat="1"/>
    <row r="1059" s="1" customFormat="1"/>
    <row r="1060" s="1" customFormat="1"/>
    <row r="1061" s="1" customFormat="1"/>
    <row r="1062" s="1" customFormat="1"/>
    <row r="1063" s="1" customFormat="1"/>
    <row r="1064" s="1" customFormat="1"/>
    <row r="1065" s="1" customFormat="1"/>
    <row r="1066" s="1" customFormat="1"/>
    <row r="1067" s="1" customFormat="1"/>
    <row r="1068" s="1" customFormat="1"/>
    <row r="1069" s="1" customFormat="1"/>
    <row r="1070" s="1" customFormat="1"/>
    <row r="1071" s="1" customFormat="1"/>
    <row r="1072" s="1" customFormat="1"/>
    <row r="1073" s="1" customFormat="1"/>
    <row r="1074" s="1" customFormat="1"/>
    <row r="1075" s="1" customFormat="1"/>
    <row r="1076" s="1" customFormat="1"/>
    <row r="1077" s="1" customFormat="1"/>
    <row r="1078" s="1" customFormat="1"/>
    <row r="1079" s="1" customFormat="1"/>
    <row r="1080" s="1" customFormat="1"/>
    <row r="1081" s="1" customFormat="1"/>
    <row r="1082" s="1" customFormat="1"/>
    <row r="1083" s="1" customFormat="1"/>
    <row r="1084" s="1" customFormat="1"/>
    <row r="1085" s="1" customFormat="1"/>
    <row r="1086" s="1" customFormat="1"/>
    <row r="1087" s="1" customFormat="1"/>
    <row r="1088" s="1" customFormat="1"/>
    <row r="1089" s="1" customFormat="1"/>
    <row r="1090" s="1" customFormat="1"/>
    <row r="1091" s="1" customFormat="1"/>
    <row r="1092" s="1" customFormat="1"/>
    <row r="1093" s="1" customFormat="1"/>
    <row r="1094" s="1" customFormat="1"/>
    <row r="1095" s="1" customFormat="1"/>
    <row r="1096" s="1" customFormat="1"/>
    <row r="1097" s="1" customFormat="1"/>
    <row r="1098" s="1" customFormat="1"/>
    <row r="1099" s="1" customFormat="1"/>
    <row r="1100" s="1" customFormat="1"/>
    <row r="1101" s="1" customFormat="1"/>
    <row r="1102" s="1" customFormat="1"/>
    <row r="1103" s="1" customFormat="1"/>
    <row r="1104" s="1" customFormat="1"/>
    <row r="1105" s="1" customFormat="1"/>
    <row r="1106" s="1" customFormat="1"/>
  </sheetData>
  <mergeCells count="36">
    <mergeCell ref="C35:F35"/>
    <mergeCell ref="C37:F37"/>
    <mergeCell ref="C14:D14"/>
    <mergeCell ref="C28:C29"/>
    <mergeCell ref="D28:D29"/>
    <mergeCell ref="E28:E29"/>
    <mergeCell ref="F28:F29"/>
    <mergeCell ref="C27:D27"/>
    <mergeCell ref="E27:F27"/>
    <mergeCell ref="C32:F32"/>
    <mergeCell ref="C33:F33"/>
    <mergeCell ref="C34:F34"/>
    <mergeCell ref="C25:F25"/>
    <mergeCell ref="C26:F26"/>
    <mergeCell ref="C23:F23"/>
    <mergeCell ref="C24:F24"/>
    <mergeCell ref="C22:F22"/>
    <mergeCell ref="B3:B5"/>
    <mergeCell ref="C3:C5"/>
    <mergeCell ref="D3:D5"/>
    <mergeCell ref="E3:F5"/>
    <mergeCell ref="C15:D15"/>
    <mergeCell ref="E14:F15"/>
    <mergeCell ref="C17:F18"/>
    <mergeCell ref="C19:F19"/>
    <mergeCell ref="C20:F20"/>
    <mergeCell ref="D12:F13"/>
    <mergeCell ref="C12:C13"/>
    <mergeCell ref="B6:C6"/>
    <mergeCell ref="C16:F16"/>
    <mergeCell ref="C21:F21"/>
    <mergeCell ref="A1:A5"/>
    <mergeCell ref="B1:F2"/>
    <mergeCell ref="D6:F7"/>
    <mergeCell ref="D8:F9"/>
    <mergeCell ref="D10:F11"/>
  </mergeCells>
  <phoneticPr fontId="61" type="noConversion"/>
  <conditionalFormatting sqref="A8:A55">
    <cfRule type="duplicateValues" dxfId="0" priority="12"/>
  </conditionalFormatting>
  <pageMargins left="0.69930555555555596" right="0.69930555555555596" top="0.75" bottom="0.75" header="0.3" footer="0.3"/>
  <pageSetup paperSize="9" scale="75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4144-CBFB-431F-B914-BC1E6E84BCB4}">
  <dimension ref="A1:H55"/>
  <sheetViews>
    <sheetView view="pageBreakPreview" zoomScaleNormal="100" zoomScaleSheetLayoutView="100" workbookViewId="0">
      <selection activeCell="B47" sqref="B47"/>
    </sheetView>
  </sheetViews>
  <sheetFormatPr defaultRowHeight="14.5"/>
  <cols>
    <col min="1" max="1" width="12.81640625" customWidth="1"/>
    <col min="2" max="2" width="23.7265625" customWidth="1"/>
    <col min="3" max="3" width="25.54296875" customWidth="1"/>
    <col min="4" max="4" width="22.1796875" customWidth="1"/>
    <col min="5" max="5" width="19.54296875" customWidth="1"/>
    <col min="6" max="6" width="16.7265625" customWidth="1"/>
    <col min="7" max="7" width="12.1796875" customWidth="1"/>
    <col min="8" max="8" width="17" customWidth="1"/>
  </cols>
  <sheetData>
    <row r="1" spans="1:8">
      <c r="A1" s="321" t="s">
        <v>152</v>
      </c>
      <c r="B1" s="322"/>
      <c r="C1" s="322"/>
      <c r="D1" s="322"/>
      <c r="E1" s="322"/>
      <c r="F1" s="322"/>
      <c r="G1" s="322"/>
      <c r="H1" s="323"/>
    </row>
    <row r="2" spans="1:8">
      <c r="A2" s="324"/>
      <c r="B2" s="325"/>
      <c r="C2" s="325"/>
      <c r="D2" s="325"/>
      <c r="E2" s="325"/>
      <c r="F2" s="325"/>
      <c r="G2" s="325"/>
      <c r="H2" s="326"/>
    </row>
    <row r="3" spans="1:8" ht="15" thickBot="1">
      <c r="A3" s="327"/>
      <c r="B3" s="328"/>
      <c r="C3" s="328"/>
      <c r="D3" s="328"/>
      <c r="E3" s="328"/>
      <c r="F3" s="328"/>
      <c r="G3" s="328"/>
      <c r="H3" s="329"/>
    </row>
    <row r="4" spans="1:8" ht="28">
      <c r="A4" s="56" t="s">
        <v>121</v>
      </c>
      <c r="B4" s="42"/>
      <c r="C4" s="37" t="s">
        <v>198</v>
      </c>
      <c r="D4" s="43"/>
      <c r="E4" s="38" t="s">
        <v>33</v>
      </c>
      <c r="F4" s="36">
        <v>1</v>
      </c>
      <c r="G4" s="39" t="s">
        <v>23</v>
      </c>
      <c r="H4" s="40">
        <v>10</v>
      </c>
    </row>
    <row r="5" spans="1:8">
      <c r="A5" s="337" t="s">
        <v>126</v>
      </c>
      <c r="B5" s="337"/>
      <c r="C5" s="337"/>
      <c r="D5" s="337"/>
      <c r="E5" s="337"/>
      <c r="F5" s="337"/>
      <c r="G5" s="337"/>
      <c r="H5" s="338"/>
    </row>
    <row r="6" spans="1:8" ht="14.5" customHeight="1">
      <c r="A6" s="339" t="s">
        <v>191</v>
      </c>
      <c r="B6" s="340"/>
      <c r="C6" s="340"/>
      <c r="D6" s="340"/>
      <c r="E6" s="340"/>
      <c r="F6" s="340"/>
      <c r="G6" s="340"/>
      <c r="H6" s="341"/>
    </row>
    <row r="7" spans="1:8" ht="14.5" customHeight="1">
      <c r="A7" s="357" t="s">
        <v>34</v>
      </c>
      <c r="B7" s="342" t="s">
        <v>193</v>
      </c>
      <c r="C7" s="343"/>
      <c r="D7" s="343"/>
      <c r="E7" s="343"/>
      <c r="F7" s="343"/>
      <c r="G7" s="343"/>
      <c r="H7" s="344"/>
    </row>
    <row r="8" spans="1:8" ht="14.5" customHeight="1">
      <c r="A8" s="358"/>
      <c r="B8" s="345" t="s">
        <v>194</v>
      </c>
      <c r="C8" s="346"/>
      <c r="D8" s="346"/>
      <c r="E8" s="346"/>
      <c r="F8" s="346"/>
      <c r="G8" s="346"/>
      <c r="H8" s="347"/>
    </row>
    <row r="9" spans="1:8" ht="14.5" customHeight="1">
      <c r="A9" s="358"/>
      <c r="B9" s="348" t="s">
        <v>192</v>
      </c>
      <c r="C9" s="349"/>
      <c r="D9" s="349"/>
      <c r="E9" s="349"/>
      <c r="F9" s="349"/>
      <c r="G9" s="349"/>
      <c r="H9" s="350"/>
    </row>
    <row r="10" spans="1:8" ht="15" thickBot="1">
      <c r="A10" s="358"/>
      <c r="B10" s="363" t="s">
        <v>195</v>
      </c>
      <c r="C10" s="364"/>
      <c r="D10" s="364"/>
      <c r="E10" s="364"/>
      <c r="F10" s="364"/>
      <c r="G10" s="365"/>
      <c r="H10" s="366"/>
    </row>
    <row r="11" spans="1:8" ht="15" customHeight="1" thickBot="1">
      <c r="A11" s="358"/>
      <c r="B11" s="120" t="s">
        <v>196</v>
      </c>
      <c r="C11" s="75" t="s">
        <v>107</v>
      </c>
      <c r="D11" s="76">
        <v>27.8</v>
      </c>
      <c r="E11" s="77" t="s">
        <v>197</v>
      </c>
      <c r="F11" s="78">
        <v>1.2</v>
      </c>
      <c r="G11" s="359" t="s">
        <v>199</v>
      </c>
      <c r="H11" s="360"/>
    </row>
    <row r="12" spans="1:8" ht="27" customHeight="1">
      <c r="A12" s="163" t="s">
        <v>202</v>
      </c>
      <c r="B12" s="361" t="s">
        <v>203</v>
      </c>
      <c r="C12" s="362"/>
      <c r="D12" s="362"/>
      <c r="E12" s="362"/>
      <c r="F12" s="362"/>
      <c r="G12" s="362"/>
      <c r="H12" s="362"/>
    </row>
    <row r="13" spans="1:8">
      <c r="A13" s="354"/>
      <c r="B13" s="351" t="s">
        <v>200</v>
      </c>
      <c r="C13" s="351"/>
      <c r="D13" s="351"/>
      <c r="E13" s="351"/>
      <c r="F13" s="351"/>
      <c r="G13" s="351"/>
      <c r="H13" s="351"/>
    </row>
    <row r="14" spans="1:8" ht="31.15" customHeight="1" thickBot="1">
      <c r="A14" s="164"/>
      <c r="B14" s="352" t="s">
        <v>216</v>
      </c>
      <c r="C14" s="352"/>
      <c r="D14" s="353"/>
      <c r="E14" s="353"/>
      <c r="F14" s="353"/>
      <c r="G14" s="353"/>
      <c r="H14" s="352"/>
    </row>
    <row r="15" spans="1:8" ht="16.149999999999999" customHeight="1" thickBot="1">
      <c r="A15" s="357" t="s">
        <v>204</v>
      </c>
      <c r="B15" s="355" t="s">
        <v>207</v>
      </c>
      <c r="C15" s="356"/>
      <c r="D15" s="73" t="s">
        <v>205</v>
      </c>
      <c r="E15" s="73">
        <v>1</v>
      </c>
      <c r="F15" s="73" t="s">
        <v>206</v>
      </c>
      <c r="G15" s="74">
        <v>199</v>
      </c>
      <c r="H15" s="84"/>
    </row>
    <row r="16" spans="1:8" ht="15" thickBot="1">
      <c r="A16" s="358"/>
      <c r="B16" s="87" t="s">
        <v>208</v>
      </c>
      <c r="C16" s="69"/>
      <c r="D16" s="69"/>
      <c r="E16" s="72"/>
      <c r="G16" s="371"/>
      <c r="H16" s="371"/>
    </row>
    <row r="17" spans="1:8" ht="15" thickBot="1">
      <c r="A17" s="358"/>
      <c r="B17" s="81" t="s">
        <v>209</v>
      </c>
      <c r="C17" s="79">
        <v>190</v>
      </c>
      <c r="D17" s="80" t="s">
        <v>160</v>
      </c>
      <c r="E17" s="378">
        <v>10</v>
      </c>
      <c r="F17" s="379"/>
      <c r="G17" s="371"/>
      <c r="H17" s="371"/>
    </row>
    <row r="18" spans="1:8">
      <c r="A18" s="358"/>
      <c r="B18" s="385" t="s">
        <v>118</v>
      </c>
      <c r="C18" s="387" t="s">
        <v>167</v>
      </c>
      <c r="D18" s="387" t="s">
        <v>168</v>
      </c>
      <c r="E18" s="389" t="s">
        <v>212</v>
      </c>
      <c r="F18" s="390"/>
      <c r="G18" s="369"/>
      <c r="H18" s="370"/>
    </row>
    <row r="19" spans="1:8" ht="15" thickBot="1">
      <c r="A19" s="358"/>
      <c r="B19" s="386"/>
      <c r="C19" s="388"/>
      <c r="D19" s="388"/>
      <c r="E19" s="391"/>
      <c r="F19" s="392"/>
      <c r="G19" s="369"/>
      <c r="H19" s="370"/>
    </row>
    <row r="20" spans="1:8" ht="20.5" customHeight="1" thickBot="1">
      <c r="A20" s="358"/>
      <c r="B20" s="393" t="s">
        <v>210</v>
      </c>
      <c r="C20" s="393"/>
      <c r="D20" s="393"/>
      <c r="E20" s="393"/>
      <c r="F20" s="393"/>
      <c r="G20" s="393"/>
      <c r="H20" s="394"/>
    </row>
    <row r="21" spans="1:8" ht="15" thickBot="1">
      <c r="A21" s="358"/>
      <c r="B21" s="88" t="s">
        <v>209</v>
      </c>
      <c r="C21" s="85">
        <v>198</v>
      </c>
      <c r="D21" s="86" t="s">
        <v>165</v>
      </c>
      <c r="E21" s="111">
        <v>2</v>
      </c>
      <c r="F21" s="112"/>
      <c r="G21" s="367"/>
      <c r="H21" s="368"/>
    </row>
    <row r="22" spans="1:8">
      <c r="A22" s="358"/>
      <c r="B22" s="71" t="s">
        <v>211</v>
      </c>
      <c r="C22" s="381"/>
      <c r="D22" s="382"/>
      <c r="E22" s="382"/>
      <c r="F22" s="368"/>
      <c r="G22" s="369"/>
      <c r="H22" s="370"/>
    </row>
    <row r="23" spans="1:8" ht="15" thickBot="1">
      <c r="A23" s="380"/>
      <c r="B23" s="89" t="s">
        <v>214</v>
      </c>
      <c r="C23" s="383"/>
      <c r="D23" s="384"/>
      <c r="E23" s="384"/>
      <c r="F23" s="370"/>
      <c r="G23" s="369"/>
      <c r="H23" s="370"/>
    </row>
    <row r="24" spans="1:8" ht="41.5" customHeight="1">
      <c r="A24" s="163" t="s">
        <v>215</v>
      </c>
      <c r="B24" s="82" t="s">
        <v>217</v>
      </c>
      <c r="C24" s="82" t="s">
        <v>218</v>
      </c>
      <c r="D24" s="82" t="s">
        <v>219</v>
      </c>
      <c r="E24" s="83" t="s">
        <v>28</v>
      </c>
      <c r="F24" s="372" t="s">
        <v>221</v>
      </c>
      <c r="G24" s="373"/>
      <c r="H24" s="374"/>
    </row>
    <row r="25" spans="1:8" ht="16" thickBot="1">
      <c r="A25" s="164"/>
      <c r="B25" s="41">
        <v>50</v>
      </c>
      <c r="C25" s="41">
        <v>50</v>
      </c>
      <c r="D25" s="41">
        <v>1</v>
      </c>
      <c r="E25" s="98">
        <v>100</v>
      </c>
      <c r="F25" s="375"/>
      <c r="G25" s="376"/>
      <c r="H25" s="377"/>
    </row>
    <row r="26" spans="1:8" ht="16" thickBot="1">
      <c r="A26" s="398" t="s">
        <v>220</v>
      </c>
      <c r="B26" s="395" t="s">
        <v>32</v>
      </c>
      <c r="C26" s="396"/>
      <c r="D26" s="396"/>
      <c r="E26" s="397"/>
      <c r="F26" s="402" t="s">
        <v>111</v>
      </c>
      <c r="G26" s="403"/>
      <c r="H26" s="403"/>
    </row>
    <row r="27" spans="1:8">
      <c r="A27" s="399"/>
      <c r="B27" s="412" t="s">
        <v>39</v>
      </c>
      <c r="C27" s="99" t="s">
        <v>40</v>
      </c>
      <c r="D27" s="100" t="s">
        <v>41</v>
      </c>
      <c r="E27" s="101" t="s">
        <v>110</v>
      </c>
      <c r="F27" s="404"/>
      <c r="G27" s="404"/>
      <c r="H27" s="404"/>
    </row>
    <row r="28" spans="1:8">
      <c r="A28" s="399"/>
      <c r="B28" s="413"/>
      <c r="C28" s="92" t="s">
        <v>44</v>
      </c>
      <c r="D28" s="23">
        <v>1</v>
      </c>
      <c r="E28" s="95">
        <v>320</v>
      </c>
      <c r="F28" s="142"/>
      <c r="G28" s="142"/>
      <c r="H28" s="142"/>
    </row>
    <row r="29" spans="1:8">
      <c r="A29" s="399"/>
      <c r="B29" s="413"/>
      <c r="C29" s="92" t="s">
        <v>42</v>
      </c>
      <c r="D29" s="23">
        <v>2</v>
      </c>
      <c r="E29" s="95">
        <v>560</v>
      </c>
      <c r="F29" s="142"/>
      <c r="G29" s="142"/>
      <c r="H29" s="142"/>
    </row>
    <row r="30" spans="1:8" ht="15.5">
      <c r="A30" s="399"/>
      <c r="B30" s="413"/>
      <c r="C30" s="93" t="s">
        <v>43</v>
      </c>
      <c r="D30" s="23">
        <v>1</v>
      </c>
      <c r="E30" s="96">
        <v>320</v>
      </c>
      <c r="F30" s="142"/>
      <c r="G30" s="142"/>
      <c r="H30" s="142"/>
    </row>
    <row r="31" spans="1:8" ht="16" thickBot="1">
      <c r="A31" s="399"/>
      <c r="B31" s="414"/>
      <c r="C31" s="94" t="s">
        <v>43</v>
      </c>
      <c r="D31" s="90">
        <v>2</v>
      </c>
      <c r="E31" s="97">
        <v>280</v>
      </c>
      <c r="F31" s="405"/>
      <c r="G31" s="405"/>
      <c r="H31" s="405"/>
    </row>
    <row r="32" spans="1:8">
      <c r="A32" s="91"/>
      <c r="C32" s="58"/>
      <c r="D32" s="91"/>
      <c r="E32" s="58"/>
      <c r="F32" s="58"/>
      <c r="G32" s="58"/>
      <c r="H32" s="58"/>
    </row>
    <row r="33" spans="1:8" ht="14.5" customHeight="1">
      <c r="A33" s="400" t="s">
        <v>223</v>
      </c>
      <c r="B33" s="340"/>
      <c r="C33" s="340"/>
      <c r="D33" s="340"/>
      <c r="E33" s="340"/>
      <c r="F33" s="340"/>
      <c r="G33" s="340"/>
      <c r="H33" s="340"/>
    </row>
    <row r="34" spans="1:8" ht="14.5" customHeight="1" thickBot="1">
      <c r="A34" s="401"/>
      <c r="B34" s="401"/>
      <c r="C34" s="401"/>
      <c r="D34" s="401"/>
      <c r="E34" s="401"/>
      <c r="F34" s="401"/>
      <c r="G34" s="401"/>
      <c r="H34" s="401"/>
    </row>
    <row r="35" spans="1:8" ht="15" thickBot="1">
      <c r="A35" s="102" t="s">
        <v>8</v>
      </c>
      <c r="B35" s="333" t="s">
        <v>9</v>
      </c>
      <c r="C35" s="334"/>
      <c r="D35" s="55" t="s">
        <v>24</v>
      </c>
      <c r="E35" s="55" t="s">
        <v>26</v>
      </c>
      <c r="F35" s="330" t="s">
        <v>27</v>
      </c>
      <c r="G35" s="330"/>
      <c r="H35" s="103" t="s">
        <v>25</v>
      </c>
    </row>
    <row r="36" spans="1:8" ht="15.5">
      <c r="A36" s="104" t="s">
        <v>10</v>
      </c>
      <c r="B36" s="335" t="s">
        <v>222</v>
      </c>
      <c r="C36" s="336"/>
      <c r="D36" s="105" t="s">
        <v>11</v>
      </c>
      <c r="E36" s="105" t="s">
        <v>12</v>
      </c>
      <c r="F36" s="331" t="s">
        <v>108</v>
      </c>
      <c r="G36" s="332"/>
      <c r="H36" s="106" t="s">
        <v>109</v>
      </c>
    </row>
    <row r="37" spans="1:8" ht="15.65" customHeight="1">
      <c r="A37" s="406" t="s">
        <v>224</v>
      </c>
      <c r="B37" s="406"/>
      <c r="C37" s="406"/>
      <c r="D37" s="406"/>
      <c r="E37" s="406"/>
      <c r="F37" s="406"/>
      <c r="G37" s="406"/>
      <c r="H37" s="406"/>
    </row>
    <row r="38" spans="1:8" ht="15.65" customHeight="1">
      <c r="A38" s="407" t="s">
        <v>225</v>
      </c>
      <c r="B38" s="407"/>
      <c r="C38" s="408"/>
      <c r="D38" s="110" t="s">
        <v>29</v>
      </c>
      <c r="E38" s="409"/>
      <c r="F38" s="410"/>
      <c r="G38" s="410"/>
      <c r="H38" s="410"/>
    </row>
    <row r="39" spans="1:8">
      <c r="A39" s="411" t="s">
        <v>226</v>
      </c>
      <c r="B39" s="411"/>
      <c r="C39" s="411"/>
      <c r="D39" s="411"/>
      <c r="E39" s="411"/>
      <c r="F39" s="110" t="s">
        <v>30</v>
      </c>
      <c r="G39" s="70"/>
      <c r="H39" s="70"/>
    </row>
    <row r="40" spans="1:8" ht="16" thickBot="1">
      <c r="D40" s="109"/>
    </row>
    <row r="41" spans="1:8" ht="20.5" thickBot="1">
      <c r="A41" s="417" t="s">
        <v>227</v>
      </c>
      <c r="B41" s="418"/>
      <c r="C41" s="418"/>
      <c r="D41" s="418"/>
      <c r="E41" s="418"/>
      <c r="F41" s="418"/>
      <c r="G41" s="418"/>
      <c r="H41" s="419"/>
    </row>
    <row r="42" spans="1:8" ht="15.5" thickBot="1">
      <c r="A42" s="117" t="s">
        <v>13</v>
      </c>
      <c r="B42" s="420" t="s">
        <v>31</v>
      </c>
      <c r="C42" s="421"/>
      <c r="D42" s="421"/>
      <c r="E42" s="421"/>
      <c r="F42" s="421"/>
      <c r="G42" s="421"/>
      <c r="H42" s="422"/>
    </row>
    <row r="43" spans="1:8" ht="16" thickBot="1">
      <c r="A43" s="118" t="s">
        <v>10</v>
      </c>
      <c r="B43" s="427" t="s">
        <v>228</v>
      </c>
      <c r="C43" s="427"/>
      <c r="D43" s="116" t="s">
        <v>229</v>
      </c>
      <c r="E43" s="423" t="s">
        <v>230</v>
      </c>
      <c r="F43" s="424"/>
      <c r="G43" s="425" t="s">
        <v>231</v>
      </c>
      <c r="H43" s="426"/>
    </row>
    <row r="44" spans="1:8" ht="21" customHeight="1" thickBot="1">
      <c r="A44" s="114" t="s">
        <v>232</v>
      </c>
      <c r="B44" s="415"/>
      <c r="C44" s="415"/>
      <c r="E44" s="415"/>
      <c r="F44" s="415"/>
      <c r="G44" s="416"/>
      <c r="H44" s="416"/>
    </row>
    <row r="45" spans="1:8" ht="21" customHeight="1">
      <c r="A45" s="115"/>
      <c r="B45" s="107"/>
      <c r="C45" s="107"/>
      <c r="D45" s="119"/>
      <c r="E45" s="107"/>
      <c r="F45" s="107"/>
      <c r="G45" s="108"/>
      <c r="H45" s="113"/>
    </row>
    <row r="46" spans="1:8" ht="21" customHeight="1">
      <c r="A46" s="115"/>
      <c r="B46" s="107"/>
      <c r="C46" s="107"/>
      <c r="D46" s="107"/>
      <c r="E46" s="107"/>
      <c r="F46" s="107"/>
      <c r="G46" s="108"/>
      <c r="H46" s="113"/>
    </row>
    <row r="47" spans="1:8" ht="21" customHeight="1">
      <c r="A47" s="115"/>
      <c r="B47" s="107"/>
      <c r="C47" s="107"/>
      <c r="D47" s="107"/>
      <c r="E47" s="107"/>
      <c r="F47" s="107"/>
      <c r="G47" s="108"/>
      <c r="H47" s="113"/>
    </row>
    <row r="48" spans="1:8" ht="21" customHeight="1">
      <c r="A48" s="115"/>
      <c r="B48" s="107"/>
      <c r="C48" s="107"/>
      <c r="D48" s="107"/>
      <c r="E48" s="107"/>
      <c r="F48" s="107"/>
      <c r="G48" s="108"/>
      <c r="H48" s="113"/>
    </row>
    <row r="49" spans="1:8" ht="21" customHeight="1">
      <c r="A49" s="115"/>
      <c r="B49" s="107"/>
      <c r="C49" s="107"/>
      <c r="D49" s="107"/>
      <c r="E49" s="107"/>
      <c r="F49" s="107"/>
      <c r="G49" s="108"/>
      <c r="H49" s="113"/>
    </row>
    <row r="50" spans="1:8" ht="21" customHeight="1">
      <c r="A50" s="115"/>
      <c r="B50" s="107"/>
      <c r="C50" s="107"/>
      <c r="D50" s="107"/>
      <c r="E50" s="107"/>
      <c r="F50" s="107"/>
      <c r="G50" s="108"/>
      <c r="H50" s="113"/>
    </row>
    <row r="51" spans="1:8" ht="21" customHeight="1">
      <c r="A51" s="115"/>
      <c r="B51" s="107"/>
      <c r="C51" s="107"/>
      <c r="D51" s="107"/>
      <c r="E51" s="107"/>
      <c r="F51" s="107"/>
      <c r="G51" s="108"/>
      <c r="H51" s="113"/>
    </row>
    <row r="52" spans="1:8" ht="21" customHeight="1">
      <c r="A52" s="115"/>
      <c r="B52" s="107"/>
      <c r="C52" s="107"/>
      <c r="D52" s="107"/>
      <c r="E52" s="107"/>
      <c r="F52" s="107"/>
      <c r="G52" s="108"/>
      <c r="H52" s="113"/>
    </row>
    <row r="53" spans="1:8" ht="21" customHeight="1">
      <c r="A53" s="115"/>
      <c r="B53" s="107"/>
      <c r="C53" s="107"/>
      <c r="D53" s="107"/>
      <c r="E53" s="107"/>
      <c r="F53" s="107"/>
      <c r="G53" s="108"/>
      <c r="H53" s="113"/>
    </row>
    <row r="54" spans="1:8" ht="15" customHeight="1" thickBot="1">
      <c r="A54" s="318"/>
      <c r="B54" s="319"/>
      <c r="C54" s="319"/>
      <c r="D54" s="319"/>
      <c r="E54" s="319"/>
      <c r="F54" s="319"/>
      <c r="G54" s="319"/>
      <c r="H54" s="320"/>
    </row>
    <row r="55" spans="1:8" ht="15" thickTop="1"/>
  </sheetData>
  <mergeCells count="54">
    <mergeCell ref="B44:C44"/>
    <mergeCell ref="E44:F44"/>
    <mergeCell ref="G44:H44"/>
    <mergeCell ref="A41:H41"/>
    <mergeCell ref="B42:H42"/>
    <mergeCell ref="E43:F43"/>
    <mergeCell ref="G43:H43"/>
    <mergeCell ref="B43:C43"/>
    <mergeCell ref="A37:H37"/>
    <mergeCell ref="A38:C38"/>
    <mergeCell ref="E38:H38"/>
    <mergeCell ref="A39:E39"/>
    <mergeCell ref="B27:B31"/>
    <mergeCell ref="B26:E26"/>
    <mergeCell ref="A26:A31"/>
    <mergeCell ref="A33:H34"/>
    <mergeCell ref="F26:H26"/>
    <mergeCell ref="F27:H27"/>
    <mergeCell ref="F28:H28"/>
    <mergeCell ref="F29:H29"/>
    <mergeCell ref="F30:H30"/>
    <mergeCell ref="F31:H31"/>
    <mergeCell ref="A24:A25"/>
    <mergeCell ref="F24:H25"/>
    <mergeCell ref="E17:F17"/>
    <mergeCell ref="A15:A23"/>
    <mergeCell ref="C22:F23"/>
    <mergeCell ref="B18:B19"/>
    <mergeCell ref="C18:C19"/>
    <mergeCell ref="D18:D19"/>
    <mergeCell ref="E18:F19"/>
    <mergeCell ref="G18:H19"/>
    <mergeCell ref="B20:H20"/>
    <mergeCell ref="G11:H11"/>
    <mergeCell ref="B12:H12"/>
    <mergeCell ref="B10:H10"/>
    <mergeCell ref="G21:H23"/>
    <mergeCell ref="G16:H17"/>
    <mergeCell ref="A54:H54"/>
    <mergeCell ref="A1:H3"/>
    <mergeCell ref="F35:G35"/>
    <mergeCell ref="F36:G36"/>
    <mergeCell ref="B35:C35"/>
    <mergeCell ref="B36:C36"/>
    <mergeCell ref="A5:H5"/>
    <mergeCell ref="A6:H6"/>
    <mergeCell ref="B7:H7"/>
    <mergeCell ref="B8:H8"/>
    <mergeCell ref="B9:H9"/>
    <mergeCell ref="B13:H13"/>
    <mergeCell ref="B14:H14"/>
    <mergeCell ref="A12:A14"/>
    <mergeCell ref="B15:C15"/>
    <mergeCell ref="A7:A11"/>
  </mergeCells>
  <phoneticPr fontId="61" type="noConversion"/>
  <dataValidations count="2">
    <dataValidation type="list" allowBlank="1" showInputMessage="1" showErrorMessage="1" sqref="H4" xr:uid="{D7743C52-B5BC-4463-B399-0196C3F9083C}">
      <formula1>"10,11"</formula1>
    </dataValidation>
    <dataValidation type="list" allowBlank="1" showInputMessage="1" showErrorMessage="1" sqref="D36 D45:D54" xr:uid="{DD7EA1A4-4B95-45E3-AFA0-E6D5E8E76B4A}">
      <formula1>"SE,PE"</formula1>
    </dataValidation>
  </dataValidations>
  <pageMargins left="0.7" right="0.7" top="0.75" bottom="0.75" header="0.3" footer="0.3"/>
  <pageSetup paperSize="9" scale="5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ใส่ข้อมูลตัวอย่าง ไม่ต้องปริ้น</vt:lpstr>
      <vt:lpstr>Ext. &amp; Prep. Task List 1</vt:lpstr>
      <vt:lpstr>Ext. &amp; Prep. Task List 2</vt:lpstr>
      <vt:lpstr>Ext. &amp; Prep. Task List 3</vt:lpstr>
      <vt:lpstr>QC measurements</vt:lpstr>
      <vt:lpstr>Pooling Table</vt:lpstr>
      <vt:lpstr>Seq Task-G50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Bernard Cho</dc:creator>
  <cp:lastModifiedBy>Siriwat J.</cp:lastModifiedBy>
  <cp:lastPrinted>2026-04-06T07:03:03Z</cp:lastPrinted>
  <dcterms:created xsi:type="dcterms:W3CDTF">2006-09-16T00:00:00Z</dcterms:created>
  <dcterms:modified xsi:type="dcterms:W3CDTF">2026-06-01T16:35:04Z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2052-10.1.0.6553</vt:lpwstr>
  </property>
</Properties>
</file>